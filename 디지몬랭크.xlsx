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F7C4DF3F-F75D-4B52-917C-4C6F09B2F9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51" i="1" l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9" i="1"/>
  <c r="AD70" i="1"/>
  <c r="AD71" i="1"/>
  <c r="AD72" i="1"/>
  <c r="AD73" i="1"/>
  <c r="AD74" i="1"/>
  <c r="AD75" i="1"/>
  <c r="AD76" i="1"/>
  <c r="AD48" i="1"/>
  <c r="AD68" i="1"/>
  <c r="AD77" i="1"/>
  <c r="AD78" i="1"/>
  <c r="AD79" i="1"/>
  <c r="AD80" i="1"/>
  <c r="AD81" i="1"/>
  <c r="AD82" i="1"/>
  <c r="AD83" i="1"/>
  <c r="AD84" i="1"/>
  <c r="AD85" i="1"/>
  <c r="AD86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H100" i="1"/>
  <c r="G100" i="1"/>
  <c r="F100" i="1"/>
  <c r="I100" i="1" s="1"/>
  <c r="H99" i="1"/>
  <c r="G99" i="1"/>
  <c r="F99" i="1"/>
  <c r="I99" i="1" s="1"/>
  <c r="H98" i="1"/>
  <c r="G98" i="1"/>
  <c r="F98" i="1"/>
  <c r="I98" i="1" s="1"/>
  <c r="H97" i="1"/>
  <c r="G97" i="1"/>
  <c r="F97" i="1"/>
  <c r="I97" i="1" s="1"/>
  <c r="H96" i="1"/>
  <c r="G96" i="1"/>
  <c r="F96" i="1"/>
  <c r="I96" i="1" s="1"/>
  <c r="H95" i="1"/>
  <c r="G95" i="1"/>
  <c r="F95" i="1"/>
  <c r="I95" i="1" s="1"/>
  <c r="H94" i="1"/>
  <c r="G94" i="1"/>
  <c r="F94" i="1"/>
  <c r="I94" i="1" s="1"/>
  <c r="H93" i="1"/>
  <c r="G93" i="1"/>
  <c r="F93" i="1"/>
  <c r="I93" i="1" s="1"/>
  <c r="H92" i="1"/>
  <c r="G92" i="1"/>
  <c r="F92" i="1"/>
  <c r="I92" i="1" s="1"/>
  <c r="H91" i="1"/>
  <c r="G91" i="1"/>
  <c r="F91" i="1"/>
  <c r="I91" i="1" s="1"/>
  <c r="H90" i="1"/>
  <c r="G90" i="1"/>
  <c r="F90" i="1"/>
  <c r="I90" i="1" s="1"/>
  <c r="H89" i="1"/>
  <c r="G89" i="1"/>
  <c r="F89" i="1"/>
  <c r="I89" i="1" s="1"/>
  <c r="H88" i="1"/>
  <c r="G88" i="1"/>
  <c r="F88" i="1"/>
  <c r="I88" i="1" s="1"/>
  <c r="H87" i="1"/>
  <c r="G87" i="1"/>
  <c r="F87" i="1"/>
  <c r="I87" i="1" s="1"/>
  <c r="AB86" i="1"/>
  <c r="AA86" i="1"/>
  <c r="Z86" i="1"/>
  <c r="AC86" i="1" s="1"/>
  <c r="H86" i="1"/>
  <c r="G86" i="1"/>
  <c r="F86" i="1"/>
  <c r="I86" i="1" s="1"/>
  <c r="AB85" i="1"/>
  <c r="AA85" i="1"/>
  <c r="Z85" i="1"/>
  <c r="AC85" i="1" s="1"/>
  <c r="H85" i="1"/>
  <c r="G85" i="1"/>
  <c r="F85" i="1"/>
  <c r="I85" i="1" s="1"/>
  <c r="AB84" i="1"/>
  <c r="AA84" i="1"/>
  <c r="Z84" i="1"/>
  <c r="AC84" i="1" s="1"/>
  <c r="H84" i="1"/>
  <c r="G84" i="1"/>
  <c r="F84" i="1"/>
  <c r="I84" i="1" s="1"/>
  <c r="AB83" i="1"/>
  <c r="AA83" i="1"/>
  <c r="Z83" i="1"/>
  <c r="AC83" i="1" s="1"/>
  <c r="H83" i="1"/>
  <c r="G83" i="1"/>
  <c r="F83" i="1"/>
  <c r="I83" i="1" s="1"/>
  <c r="AB82" i="1"/>
  <c r="AA82" i="1"/>
  <c r="Z82" i="1"/>
  <c r="AC82" i="1" s="1"/>
  <c r="H82" i="1"/>
  <c r="G82" i="1"/>
  <c r="F82" i="1"/>
  <c r="I82" i="1" s="1"/>
  <c r="AB81" i="1"/>
  <c r="AA81" i="1"/>
  <c r="Z81" i="1"/>
  <c r="AC81" i="1" s="1"/>
  <c r="H81" i="1"/>
  <c r="G81" i="1"/>
  <c r="F81" i="1"/>
  <c r="I81" i="1" s="1"/>
  <c r="AB80" i="1"/>
  <c r="AA80" i="1"/>
  <c r="Z80" i="1"/>
  <c r="AC80" i="1" s="1"/>
  <c r="H80" i="1"/>
  <c r="G80" i="1"/>
  <c r="F80" i="1"/>
  <c r="I80" i="1" s="1"/>
  <c r="AB79" i="1"/>
  <c r="AA79" i="1"/>
  <c r="Z79" i="1"/>
  <c r="AC79" i="1" s="1"/>
  <c r="H79" i="1"/>
  <c r="G79" i="1"/>
  <c r="F79" i="1"/>
  <c r="I79" i="1" s="1"/>
  <c r="AB78" i="1"/>
  <c r="AA78" i="1"/>
  <c r="Z78" i="1"/>
  <c r="AC78" i="1" s="1"/>
  <c r="H78" i="1"/>
  <c r="G78" i="1"/>
  <c r="F78" i="1"/>
  <c r="I78" i="1" s="1"/>
  <c r="AB77" i="1"/>
  <c r="AA77" i="1"/>
  <c r="Z77" i="1"/>
  <c r="AC77" i="1" s="1"/>
  <c r="H77" i="1"/>
  <c r="G77" i="1"/>
  <c r="F77" i="1"/>
  <c r="I77" i="1" s="1"/>
  <c r="AB68" i="1"/>
  <c r="AA68" i="1"/>
  <c r="Z68" i="1"/>
  <c r="AC68" i="1" s="1"/>
  <c r="H76" i="1"/>
  <c r="G76" i="1"/>
  <c r="F76" i="1"/>
  <c r="I76" i="1" s="1"/>
  <c r="AB48" i="1"/>
  <c r="AA48" i="1"/>
  <c r="Z48" i="1"/>
  <c r="AC48" i="1" s="1"/>
  <c r="H75" i="1"/>
  <c r="G75" i="1"/>
  <c r="F75" i="1"/>
  <c r="I75" i="1" s="1"/>
  <c r="AB76" i="1"/>
  <c r="AA76" i="1"/>
  <c r="Z76" i="1"/>
  <c r="AC76" i="1" s="1"/>
  <c r="H74" i="1"/>
  <c r="G74" i="1"/>
  <c r="F74" i="1"/>
  <c r="I74" i="1" s="1"/>
  <c r="AB75" i="1"/>
  <c r="AA75" i="1"/>
  <c r="Z75" i="1"/>
  <c r="AC75" i="1" s="1"/>
  <c r="H73" i="1"/>
  <c r="G73" i="1"/>
  <c r="F73" i="1"/>
  <c r="I73" i="1" s="1"/>
  <c r="AB74" i="1"/>
  <c r="AA74" i="1"/>
  <c r="Z74" i="1"/>
  <c r="AC74" i="1" s="1"/>
  <c r="H72" i="1"/>
  <c r="G72" i="1"/>
  <c r="F72" i="1"/>
  <c r="I72" i="1" s="1"/>
  <c r="AB73" i="1"/>
  <c r="AA73" i="1"/>
  <c r="Z73" i="1"/>
  <c r="AC73" i="1" s="1"/>
  <c r="H71" i="1"/>
  <c r="G71" i="1"/>
  <c r="F71" i="1"/>
  <c r="I71" i="1" s="1"/>
  <c r="AB72" i="1"/>
  <c r="AA72" i="1"/>
  <c r="Z72" i="1"/>
  <c r="AC72" i="1" s="1"/>
  <c r="H70" i="1"/>
  <c r="G70" i="1"/>
  <c r="F70" i="1"/>
  <c r="I70" i="1" s="1"/>
  <c r="AB71" i="1"/>
  <c r="AA71" i="1"/>
  <c r="Z71" i="1"/>
  <c r="AC71" i="1" s="1"/>
  <c r="H69" i="1"/>
  <c r="G69" i="1"/>
  <c r="F69" i="1"/>
  <c r="I69" i="1" s="1"/>
  <c r="AB70" i="1"/>
  <c r="AA70" i="1"/>
  <c r="Z70" i="1"/>
  <c r="AC70" i="1" s="1"/>
  <c r="H68" i="1"/>
  <c r="G68" i="1"/>
  <c r="F68" i="1"/>
  <c r="I68" i="1" s="1"/>
  <c r="AB69" i="1"/>
  <c r="AA69" i="1"/>
  <c r="Z69" i="1"/>
  <c r="AC69" i="1" s="1"/>
  <c r="H67" i="1"/>
  <c r="G67" i="1"/>
  <c r="F67" i="1"/>
  <c r="I67" i="1" s="1"/>
  <c r="AB67" i="1"/>
  <c r="AA67" i="1"/>
  <c r="Z67" i="1"/>
  <c r="AC67" i="1" s="1"/>
  <c r="H66" i="1"/>
  <c r="G66" i="1"/>
  <c r="F66" i="1"/>
  <c r="I66" i="1" s="1"/>
  <c r="AB66" i="1"/>
  <c r="AA66" i="1"/>
  <c r="Z66" i="1"/>
  <c r="AC66" i="1" s="1"/>
  <c r="H65" i="1"/>
  <c r="G65" i="1"/>
  <c r="F65" i="1"/>
  <c r="I65" i="1" s="1"/>
  <c r="AB65" i="1"/>
  <c r="AA65" i="1"/>
  <c r="Z65" i="1"/>
  <c r="AC65" i="1" s="1"/>
  <c r="H64" i="1"/>
  <c r="G64" i="1"/>
  <c r="F64" i="1"/>
  <c r="I64" i="1" s="1"/>
  <c r="AB64" i="1"/>
  <c r="AA64" i="1"/>
  <c r="Z64" i="1"/>
  <c r="AC64" i="1" s="1"/>
  <c r="H63" i="1"/>
  <c r="G63" i="1"/>
  <c r="F63" i="1"/>
  <c r="I63" i="1" s="1"/>
  <c r="AB63" i="1"/>
  <c r="AA63" i="1"/>
  <c r="Z63" i="1"/>
  <c r="AC63" i="1" s="1"/>
  <c r="H62" i="1"/>
  <c r="G62" i="1"/>
  <c r="F62" i="1"/>
  <c r="I62" i="1" s="1"/>
  <c r="AB62" i="1"/>
  <c r="AA62" i="1"/>
  <c r="Z62" i="1"/>
  <c r="AC62" i="1" s="1"/>
  <c r="H61" i="1"/>
  <c r="G61" i="1"/>
  <c r="F61" i="1"/>
  <c r="I61" i="1" s="1"/>
  <c r="AB61" i="1"/>
  <c r="AA61" i="1"/>
  <c r="Z61" i="1"/>
  <c r="AC61" i="1" s="1"/>
  <c r="H60" i="1"/>
  <c r="G60" i="1"/>
  <c r="F60" i="1"/>
  <c r="I60" i="1" s="1"/>
  <c r="AB60" i="1"/>
  <c r="AA60" i="1"/>
  <c r="Z60" i="1"/>
  <c r="AC60" i="1" s="1"/>
  <c r="H59" i="1"/>
  <c r="G59" i="1"/>
  <c r="F59" i="1"/>
  <c r="I59" i="1" s="1"/>
  <c r="AB59" i="1"/>
  <c r="AA59" i="1"/>
  <c r="Z59" i="1"/>
  <c r="AC59" i="1" s="1"/>
  <c r="H58" i="1"/>
  <c r="G58" i="1"/>
  <c r="F58" i="1"/>
  <c r="I58" i="1" s="1"/>
  <c r="AB58" i="1"/>
  <c r="AA58" i="1"/>
  <c r="Z58" i="1"/>
  <c r="AC58" i="1" s="1"/>
  <c r="H57" i="1"/>
  <c r="G57" i="1"/>
  <c r="F57" i="1"/>
  <c r="I57" i="1" s="1"/>
  <c r="AB57" i="1"/>
  <c r="AA57" i="1"/>
  <c r="Z57" i="1"/>
  <c r="AC57" i="1" s="1"/>
  <c r="H56" i="1"/>
  <c r="G56" i="1"/>
  <c r="F56" i="1"/>
  <c r="I56" i="1" s="1"/>
  <c r="AB56" i="1"/>
  <c r="AA56" i="1"/>
  <c r="Z56" i="1"/>
  <c r="AC56" i="1" s="1"/>
  <c r="H55" i="1"/>
  <c r="G55" i="1"/>
  <c r="F55" i="1"/>
  <c r="I55" i="1" s="1"/>
  <c r="AB55" i="1"/>
  <c r="AA55" i="1"/>
  <c r="Z55" i="1"/>
  <c r="AC55" i="1" s="1"/>
  <c r="H54" i="1"/>
  <c r="G54" i="1"/>
  <c r="F54" i="1"/>
  <c r="I54" i="1" s="1"/>
  <c r="AB54" i="1"/>
  <c r="AA54" i="1"/>
  <c r="Z54" i="1"/>
  <c r="AC54" i="1" s="1"/>
  <c r="H53" i="1"/>
  <c r="G53" i="1"/>
  <c r="F53" i="1"/>
  <c r="I53" i="1" s="1"/>
  <c r="AB53" i="1"/>
  <c r="AA53" i="1"/>
  <c r="Z53" i="1"/>
  <c r="AC53" i="1" s="1"/>
  <c r="H52" i="1"/>
  <c r="G52" i="1"/>
  <c r="F52" i="1"/>
  <c r="I52" i="1" s="1"/>
  <c r="AB52" i="1"/>
  <c r="AA52" i="1"/>
  <c r="Z52" i="1"/>
  <c r="AC52" i="1" s="1"/>
  <c r="H51" i="1"/>
  <c r="G51" i="1"/>
  <c r="F51" i="1"/>
  <c r="I51" i="1" s="1"/>
  <c r="AB51" i="1"/>
  <c r="AA51" i="1"/>
  <c r="Z51" i="1"/>
  <c r="AC51" i="1" s="1"/>
  <c r="H50" i="1"/>
  <c r="G50" i="1"/>
  <c r="F50" i="1"/>
  <c r="I50" i="1" s="1"/>
  <c r="AD50" i="1"/>
  <c r="AB50" i="1"/>
  <c r="AA50" i="1"/>
  <c r="Z50" i="1"/>
  <c r="AC50" i="1" s="1"/>
  <c r="H49" i="1"/>
  <c r="G49" i="1"/>
  <c r="F49" i="1"/>
  <c r="I49" i="1" s="1"/>
  <c r="AD49" i="1"/>
  <c r="AB49" i="1"/>
  <c r="AA49" i="1"/>
  <c r="Z49" i="1"/>
  <c r="AC49" i="1" s="1"/>
  <c r="H48" i="1"/>
  <c r="G48" i="1"/>
  <c r="F48" i="1"/>
  <c r="I48" i="1" s="1"/>
  <c r="AD47" i="1"/>
  <c r="AB47" i="1"/>
  <c r="AA47" i="1"/>
  <c r="Z47" i="1"/>
  <c r="AC47" i="1" s="1"/>
  <c r="H47" i="1"/>
  <c r="G47" i="1"/>
  <c r="F47" i="1"/>
  <c r="I47" i="1" s="1"/>
  <c r="AD46" i="1"/>
  <c r="AB46" i="1"/>
  <c r="AA46" i="1"/>
  <c r="Z46" i="1"/>
  <c r="AC46" i="1" s="1"/>
  <c r="H46" i="1"/>
  <c r="G46" i="1"/>
  <c r="F46" i="1"/>
  <c r="I46" i="1" s="1"/>
  <c r="AD45" i="1"/>
  <c r="AB45" i="1"/>
  <c r="AA45" i="1"/>
  <c r="Z45" i="1"/>
  <c r="AC45" i="1" s="1"/>
  <c r="H45" i="1"/>
  <c r="G45" i="1"/>
  <c r="F45" i="1"/>
  <c r="I45" i="1" s="1"/>
  <c r="AD44" i="1"/>
  <c r="AB44" i="1"/>
  <c r="AA44" i="1"/>
  <c r="Z44" i="1"/>
  <c r="AC44" i="1" s="1"/>
  <c r="H44" i="1"/>
  <c r="G44" i="1"/>
  <c r="F44" i="1"/>
  <c r="I44" i="1" s="1"/>
  <c r="AD43" i="1"/>
  <c r="AB43" i="1"/>
  <c r="AA43" i="1"/>
  <c r="Z43" i="1"/>
  <c r="AC43" i="1" s="1"/>
  <c r="H43" i="1"/>
  <c r="G43" i="1"/>
  <c r="F43" i="1"/>
  <c r="I43" i="1" s="1"/>
  <c r="AD42" i="1"/>
  <c r="AB42" i="1"/>
  <c r="AA42" i="1"/>
  <c r="Z42" i="1"/>
  <c r="AC42" i="1" s="1"/>
  <c r="H42" i="1"/>
  <c r="G42" i="1"/>
  <c r="F42" i="1"/>
  <c r="I42" i="1" s="1"/>
  <c r="AD41" i="1"/>
  <c r="AB41" i="1"/>
  <c r="AA41" i="1"/>
  <c r="Z41" i="1"/>
  <c r="AC41" i="1" s="1"/>
  <c r="H41" i="1"/>
  <c r="G41" i="1"/>
  <c r="F41" i="1"/>
  <c r="I41" i="1" s="1"/>
  <c r="AD40" i="1"/>
  <c r="AB40" i="1"/>
  <c r="AA40" i="1"/>
  <c r="Z40" i="1"/>
  <c r="AC40" i="1" s="1"/>
  <c r="H40" i="1"/>
  <c r="G40" i="1"/>
  <c r="F40" i="1"/>
  <c r="I40" i="1" s="1"/>
  <c r="AD39" i="1"/>
  <c r="AB39" i="1"/>
  <c r="AA39" i="1"/>
  <c r="Z39" i="1"/>
  <c r="AC39" i="1" s="1"/>
  <c r="H39" i="1"/>
  <c r="G39" i="1"/>
  <c r="F39" i="1"/>
  <c r="I39" i="1" s="1"/>
  <c r="AD38" i="1"/>
  <c r="AB38" i="1"/>
  <c r="AA38" i="1"/>
  <c r="Z38" i="1"/>
  <c r="AC38" i="1" s="1"/>
  <c r="H38" i="1"/>
  <c r="G38" i="1"/>
  <c r="F38" i="1"/>
  <c r="I38" i="1" s="1"/>
  <c r="AD37" i="1"/>
  <c r="AB37" i="1"/>
  <c r="AA37" i="1"/>
  <c r="Z37" i="1"/>
  <c r="AC37" i="1" s="1"/>
  <c r="H37" i="1"/>
  <c r="G37" i="1"/>
  <c r="F37" i="1"/>
  <c r="I37" i="1" s="1"/>
  <c r="AD36" i="1"/>
  <c r="AB36" i="1"/>
  <c r="AA36" i="1"/>
  <c r="Z36" i="1"/>
  <c r="AC36" i="1" s="1"/>
  <c r="H36" i="1"/>
  <c r="G36" i="1"/>
  <c r="F36" i="1"/>
  <c r="I36" i="1" s="1"/>
  <c r="AD35" i="1"/>
  <c r="AB35" i="1"/>
  <c r="AA35" i="1"/>
  <c r="Z35" i="1"/>
  <c r="AC35" i="1" s="1"/>
  <c r="H35" i="1"/>
  <c r="G35" i="1"/>
  <c r="F35" i="1"/>
  <c r="I35" i="1" s="1"/>
  <c r="AD34" i="1"/>
  <c r="AB34" i="1"/>
  <c r="AA34" i="1"/>
  <c r="Z34" i="1"/>
  <c r="AC34" i="1" s="1"/>
  <c r="H34" i="1"/>
  <c r="G34" i="1"/>
  <c r="F34" i="1"/>
  <c r="I34" i="1" s="1"/>
  <c r="AD33" i="1"/>
  <c r="AB33" i="1"/>
  <c r="AA33" i="1"/>
  <c r="Z33" i="1"/>
  <c r="AC33" i="1" s="1"/>
  <c r="H33" i="1"/>
  <c r="G33" i="1"/>
  <c r="F33" i="1"/>
  <c r="I33" i="1" s="1"/>
  <c r="AD32" i="1"/>
  <c r="AB32" i="1"/>
  <c r="AA32" i="1"/>
  <c r="Z32" i="1"/>
  <c r="AC32" i="1" s="1"/>
  <c r="H32" i="1"/>
  <c r="G32" i="1"/>
  <c r="F32" i="1"/>
  <c r="I32" i="1" s="1"/>
  <c r="AD31" i="1"/>
  <c r="AB31" i="1"/>
  <c r="AA31" i="1"/>
  <c r="Z31" i="1"/>
  <c r="AC31" i="1" s="1"/>
  <c r="P31" i="1"/>
  <c r="Q31" i="1" s="1" a="1"/>
  <c r="Q31" i="1" s="1"/>
  <c r="R31" i="1" s="1"/>
  <c r="H31" i="1"/>
  <c r="G31" i="1"/>
  <c r="F31" i="1"/>
  <c r="I31" i="1" s="1"/>
  <c r="AD30" i="1"/>
  <c r="AB30" i="1"/>
  <c r="AA30" i="1"/>
  <c r="Z30" i="1"/>
  <c r="AC30" i="1" s="1"/>
  <c r="H30" i="1"/>
  <c r="G30" i="1"/>
  <c r="F30" i="1"/>
  <c r="I30" i="1" s="1"/>
  <c r="AD29" i="1"/>
  <c r="AB29" i="1"/>
  <c r="AA29" i="1"/>
  <c r="Z29" i="1"/>
  <c r="AC29" i="1" s="1"/>
  <c r="J29" i="1"/>
  <c r="H29" i="1"/>
  <c r="G29" i="1"/>
  <c r="F29" i="1"/>
  <c r="I29" i="1" s="1"/>
  <c r="AD28" i="1"/>
  <c r="AB28" i="1"/>
  <c r="AA28" i="1"/>
  <c r="Z28" i="1"/>
  <c r="AC28" i="1" s="1"/>
  <c r="J28" i="1"/>
  <c r="H28" i="1"/>
  <c r="G28" i="1"/>
  <c r="F28" i="1"/>
  <c r="I28" i="1" s="1"/>
  <c r="AD27" i="1"/>
  <c r="AB27" i="1"/>
  <c r="AA27" i="1"/>
  <c r="Z27" i="1"/>
  <c r="AC27" i="1" s="1"/>
  <c r="J27" i="1"/>
  <c r="H27" i="1"/>
  <c r="G27" i="1"/>
  <c r="F27" i="1"/>
  <c r="I27" i="1" s="1"/>
  <c r="AD26" i="1"/>
  <c r="AB26" i="1"/>
  <c r="AA26" i="1"/>
  <c r="Z26" i="1"/>
  <c r="AC26" i="1" s="1"/>
  <c r="Q26" i="1" a="1"/>
  <c r="Q26" i="1" s="1"/>
  <c r="J26" i="1"/>
  <c r="H26" i="1"/>
  <c r="G26" i="1"/>
  <c r="F26" i="1"/>
  <c r="I26" i="1" s="1"/>
  <c r="AD25" i="1"/>
  <c r="AB25" i="1"/>
  <c r="AA25" i="1"/>
  <c r="Z25" i="1"/>
  <c r="AC25" i="1" s="1"/>
  <c r="J25" i="1"/>
  <c r="H25" i="1"/>
  <c r="G25" i="1"/>
  <c r="F25" i="1"/>
  <c r="I25" i="1" s="1"/>
  <c r="AD24" i="1"/>
  <c r="AB24" i="1"/>
  <c r="AA24" i="1"/>
  <c r="Z24" i="1"/>
  <c r="AC24" i="1" s="1"/>
  <c r="J24" i="1"/>
  <c r="H24" i="1"/>
  <c r="G24" i="1"/>
  <c r="F24" i="1"/>
  <c r="I24" i="1" s="1"/>
  <c r="AD23" i="1"/>
  <c r="AB23" i="1"/>
  <c r="AA23" i="1"/>
  <c r="Z23" i="1"/>
  <c r="AC23" i="1" s="1"/>
  <c r="J23" i="1"/>
  <c r="H23" i="1"/>
  <c r="G23" i="1"/>
  <c r="F23" i="1"/>
  <c r="I23" i="1" s="1"/>
  <c r="AD22" i="1"/>
  <c r="AB22" i="1"/>
  <c r="AA22" i="1"/>
  <c r="Z22" i="1"/>
  <c r="AC22" i="1" s="1"/>
  <c r="J22" i="1"/>
  <c r="H22" i="1"/>
  <c r="G22" i="1"/>
  <c r="F22" i="1"/>
  <c r="I22" i="1" s="1"/>
  <c r="AD21" i="1"/>
  <c r="AB21" i="1"/>
  <c r="AA21" i="1"/>
  <c r="Z21" i="1"/>
  <c r="AC21" i="1" s="1"/>
  <c r="J21" i="1"/>
  <c r="H21" i="1"/>
  <c r="G21" i="1"/>
  <c r="F21" i="1"/>
  <c r="I21" i="1" s="1"/>
  <c r="AD20" i="1"/>
  <c r="AB20" i="1"/>
  <c r="AA20" i="1"/>
  <c r="Z20" i="1"/>
  <c r="AC20" i="1" s="1"/>
  <c r="J20" i="1"/>
  <c r="H20" i="1"/>
  <c r="G20" i="1"/>
  <c r="F20" i="1"/>
  <c r="I20" i="1" s="1"/>
  <c r="AD19" i="1"/>
  <c r="AB19" i="1"/>
  <c r="AA19" i="1"/>
  <c r="Z19" i="1"/>
  <c r="AC19" i="1" s="1"/>
  <c r="J19" i="1"/>
  <c r="H19" i="1"/>
  <c r="G19" i="1"/>
  <c r="F19" i="1"/>
  <c r="I19" i="1" s="1"/>
  <c r="AD18" i="1"/>
  <c r="AB18" i="1"/>
  <c r="AA18" i="1"/>
  <c r="Z18" i="1"/>
  <c r="AC18" i="1" s="1"/>
  <c r="O18" i="1"/>
  <c r="O19" i="1" s="1"/>
  <c r="N18" i="1"/>
  <c r="N19" i="1" s="1"/>
  <c r="M18" i="1"/>
  <c r="M19" i="1" s="1"/>
  <c r="J18" i="1"/>
  <c r="H18" i="1"/>
  <c r="G18" i="1"/>
  <c r="F18" i="1"/>
  <c r="I18" i="1" s="1"/>
  <c r="AD17" i="1"/>
  <c r="AB17" i="1"/>
  <c r="AA17" i="1"/>
  <c r="Z17" i="1"/>
  <c r="AC17" i="1" s="1"/>
  <c r="O17" i="1"/>
  <c r="N17" i="1"/>
  <c r="M17" i="1"/>
  <c r="P18" i="1" s="1"/>
  <c r="P19" i="1" s="1"/>
  <c r="J17" i="1"/>
  <c r="H17" i="1"/>
  <c r="G17" i="1"/>
  <c r="F17" i="1"/>
  <c r="I17" i="1" s="1"/>
  <c r="AD16" i="1"/>
  <c r="AB16" i="1"/>
  <c r="AA16" i="1"/>
  <c r="Z16" i="1"/>
  <c r="AC16" i="1" s="1"/>
  <c r="O16" i="1"/>
  <c r="N16" i="1"/>
  <c r="M16" i="1"/>
  <c r="P16" i="1" s="1"/>
  <c r="J16" i="1"/>
  <c r="H16" i="1"/>
  <c r="G16" i="1"/>
  <c r="F16" i="1"/>
  <c r="I16" i="1" s="1"/>
  <c r="AD15" i="1"/>
  <c r="AB15" i="1"/>
  <c r="AA15" i="1"/>
  <c r="Z15" i="1"/>
  <c r="AC15" i="1" s="1"/>
  <c r="J15" i="1"/>
  <c r="H15" i="1"/>
  <c r="G15" i="1"/>
  <c r="F15" i="1"/>
  <c r="I15" i="1" s="1"/>
  <c r="AD14" i="1"/>
  <c r="AB14" i="1"/>
  <c r="AA14" i="1"/>
  <c r="Z14" i="1"/>
  <c r="AC14" i="1" s="1"/>
  <c r="P14" i="1"/>
  <c r="J14" i="1"/>
  <c r="H14" i="1"/>
  <c r="G14" i="1"/>
  <c r="F14" i="1"/>
  <c r="I14" i="1" s="1"/>
  <c r="AD13" i="1"/>
  <c r="AB13" i="1"/>
  <c r="AA13" i="1"/>
  <c r="Z13" i="1"/>
  <c r="AC13" i="1" s="1"/>
  <c r="J13" i="1"/>
  <c r="H13" i="1"/>
  <c r="G13" i="1"/>
  <c r="F13" i="1"/>
  <c r="I13" i="1" s="1"/>
  <c r="AD12" i="1"/>
  <c r="AB12" i="1"/>
  <c r="AA12" i="1"/>
  <c r="Z12" i="1"/>
  <c r="AC12" i="1" s="1"/>
  <c r="P12" i="1"/>
  <c r="J12" i="1"/>
  <c r="H12" i="1"/>
  <c r="G12" i="1"/>
  <c r="F12" i="1"/>
  <c r="I12" i="1" s="1"/>
  <c r="AD11" i="1"/>
  <c r="AB11" i="1"/>
  <c r="AA11" i="1"/>
  <c r="Z11" i="1"/>
  <c r="AC11" i="1" s="1"/>
  <c r="J11" i="1"/>
  <c r="H11" i="1"/>
  <c r="G11" i="1"/>
  <c r="F11" i="1"/>
  <c r="I11" i="1" s="1"/>
  <c r="AD10" i="1"/>
  <c r="AB10" i="1"/>
  <c r="AA10" i="1"/>
  <c r="Z10" i="1"/>
  <c r="AC10" i="1" s="1"/>
  <c r="J10" i="1"/>
  <c r="H10" i="1"/>
  <c r="G10" i="1"/>
  <c r="F10" i="1"/>
  <c r="I10" i="1" s="1"/>
  <c r="AD9" i="1"/>
  <c r="AB9" i="1"/>
  <c r="AA9" i="1"/>
  <c r="Z9" i="1"/>
  <c r="AC9" i="1" s="1"/>
  <c r="J9" i="1"/>
  <c r="H9" i="1"/>
  <c r="G9" i="1"/>
  <c r="F9" i="1"/>
  <c r="I9" i="1" s="1"/>
  <c r="AD8" i="1"/>
  <c r="AB8" i="1"/>
  <c r="AA8" i="1"/>
  <c r="Z8" i="1"/>
  <c r="AC8" i="1" s="1"/>
  <c r="J8" i="1"/>
  <c r="H8" i="1"/>
  <c r="G8" i="1"/>
  <c r="F8" i="1"/>
  <c r="I8" i="1" s="1"/>
  <c r="AD7" i="1"/>
  <c r="AB7" i="1"/>
  <c r="AA7" i="1"/>
  <c r="Z7" i="1"/>
  <c r="AC7" i="1" s="1"/>
  <c r="J7" i="1"/>
  <c r="H7" i="1"/>
  <c r="G7" i="1"/>
  <c r="F7" i="1"/>
  <c r="I7" i="1" s="1"/>
  <c r="AD6" i="1"/>
  <c r="AB6" i="1"/>
  <c r="AA6" i="1"/>
  <c r="Z6" i="1"/>
  <c r="AC6" i="1" s="1"/>
  <c r="J6" i="1"/>
  <c r="H6" i="1"/>
  <c r="G6" i="1"/>
  <c r="F6" i="1"/>
  <c r="I6" i="1" s="1"/>
  <c r="AD5" i="1"/>
  <c r="AB5" i="1"/>
  <c r="AA5" i="1"/>
  <c r="Z5" i="1"/>
  <c r="AC5" i="1" s="1"/>
  <c r="J5" i="1"/>
  <c r="H5" i="1"/>
  <c r="G5" i="1"/>
  <c r="F5" i="1"/>
  <c r="I5" i="1" s="1"/>
  <c r="AD4" i="1"/>
  <c r="AB4" i="1"/>
  <c r="AA4" i="1"/>
  <c r="Z4" i="1"/>
  <c r="AC4" i="1" s="1"/>
  <c r="T4" i="1"/>
  <c r="J4" i="1"/>
  <c r="H4" i="1"/>
  <c r="G4" i="1"/>
  <c r="F4" i="1"/>
  <c r="I4" i="1" s="1"/>
  <c r="A4" i="1"/>
  <c r="A100" i="1" l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T86" i="1"/>
  <c r="T85" i="1"/>
  <c r="T84" i="1"/>
  <c r="T83" i="1"/>
  <c r="T82" i="1"/>
  <c r="T81" i="1"/>
  <c r="T80" i="1"/>
  <c r="T79" i="1"/>
  <c r="T78" i="1"/>
  <c r="T77" i="1"/>
  <c r="T68" i="1"/>
  <c r="T48" i="1"/>
  <c r="T76" i="1"/>
  <c r="T75" i="1"/>
  <c r="T74" i="1"/>
  <c r="T73" i="1"/>
  <c r="T72" i="1"/>
  <c r="T71" i="1"/>
  <c r="T70" i="1"/>
  <c r="T69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<sst xmlns="http://schemas.openxmlformats.org/spreadsheetml/2006/main" count="238" uniqueCount="150">
  <si>
    <t>궁극체 랭크</t>
  </si>
  <si>
    <t>15=1</t>
  </si>
  <si>
    <t>5=1</t>
  </si>
  <si>
    <t>순위</t>
  </si>
  <si>
    <t>이름</t>
  </si>
  <si>
    <t>체력</t>
  </si>
  <si>
    <t>공격</t>
  </si>
  <si>
    <t>속도</t>
  </si>
  <si>
    <t>체력점수</t>
  </si>
  <si>
    <t>공격점수</t>
  </si>
  <si>
    <t>속도점수</t>
  </si>
  <si>
    <t>총점</t>
  </si>
  <si>
    <t>총합</t>
  </si>
  <si>
    <t>속성</t>
  </si>
  <si>
    <t>레이브몬:버스트모드</t>
  </si>
  <si>
    <t>사용방법</t>
  </si>
  <si>
    <t>마스테몬</t>
  </si>
  <si>
    <t>백신</t>
  </si>
  <si>
    <t>알포스X</t>
  </si>
  <si>
    <t>리리스몬</t>
  </si>
  <si>
    <t>바이러스</t>
  </si>
  <si>
    <t>오메가몬 즈왈트D</t>
  </si>
  <si>
    <t>1. 이름, 체력,공격,속도를 기입.</t>
  </si>
  <si>
    <t>블룸로드몬</t>
  </si>
  <si>
    <t>오메가몬X</t>
  </si>
  <si>
    <t>2. 데이터 전체선택</t>
  </si>
  <si>
    <t>안피몬</t>
  </si>
  <si>
    <t>데이터</t>
  </si>
  <si>
    <t>미라쥬버스트</t>
  </si>
  <si>
    <t>3. 오름차순 정렬</t>
  </si>
  <si>
    <t>카즈치몬</t>
  </si>
  <si>
    <t xml:space="preserve">오메가몬B </t>
  </si>
  <si>
    <t>페닉스몬</t>
  </si>
  <si>
    <t>프록시마몬</t>
  </si>
  <si>
    <t>샤크라몬</t>
  </si>
  <si>
    <t>알파몬:왕룡검</t>
  </si>
  <si>
    <t>훈련 계산기</t>
  </si>
  <si>
    <t>최종점수</t>
  </si>
  <si>
    <t>플레시오몬</t>
  </si>
  <si>
    <t>라그나로드몬</t>
  </si>
  <si>
    <t>기본값</t>
  </si>
  <si>
    <t>오파니몬</t>
  </si>
  <si>
    <t>로제몬버스트</t>
  </si>
  <si>
    <t>훈련(실패)</t>
  </si>
  <si>
    <t>PP</t>
  </si>
  <si>
    <t>다이노렉스몬</t>
  </si>
  <si>
    <t>벨젭블래스트</t>
  </si>
  <si>
    <t>훈련(성공)</t>
  </si>
  <si>
    <t>레가렉스몬</t>
  </si>
  <si>
    <t>황팔</t>
  </si>
  <si>
    <t>훈련(대성)</t>
  </si>
  <si>
    <t>기본점수</t>
  </si>
  <si>
    <t>에이션트이리시몬</t>
  </si>
  <si>
    <t>스사노오몬</t>
  </si>
  <si>
    <t>기본값변환치</t>
  </si>
  <si>
    <t>스피노몬</t>
  </si>
  <si>
    <t>라플레시몬</t>
  </si>
  <si>
    <t>훈련값변환치</t>
  </si>
  <si>
    <t>훈련점수</t>
  </si>
  <si>
    <t>쿠즈하몬</t>
  </si>
  <si>
    <t>샤우트몬X7슈페리올모드</t>
  </si>
  <si>
    <t>최종값</t>
  </si>
  <si>
    <t>샤크라몬:무녀모드</t>
  </si>
  <si>
    <t>카드라X</t>
  </si>
  <si>
    <t>오른값</t>
  </si>
  <si>
    <t>도미니몬</t>
  </si>
  <si>
    <t>타리언트캅테리몬</t>
  </si>
  <si>
    <t>에이션트볼케몬</t>
  </si>
  <si>
    <t>샤인그레이몬:루인모드</t>
  </si>
  <si>
    <t>세인트가르고몬</t>
  </si>
  <si>
    <t>펜리루가몬:타케미카즈치</t>
  </si>
  <si>
    <t>속도에따른 명중률 계산기 1  - 값1 + 10</t>
  </si>
  <si>
    <t>에이션트비트몬</t>
  </si>
  <si>
    <t>듀크몬X</t>
  </si>
  <si>
    <t>50+((내BP-상대BP)/10)+ 속성상성보정(우위시, +10%),열세-10%</t>
  </si>
  <si>
    <t>프로스베르그몬</t>
  </si>
  <si>
    <t>매그너몬X</t>
  </si>
  <si>
    <t>듀나스몬</t>
  </si>
  <si>
    <t>엑자몬</t>
  </si>
  <si>
    <t>내 속도</t>
  </si>
  <si>
    <t xml:space="preserve">상대 속도 </t>
  </si>
  <si>
    <t>내 속성</t>
  </si>
  <si>
    <t>상대 속성</t>
  </si>
  <si>
    <t>명중률</t>
  </si>
  <si>
    <t>블래스트몬</t>
  </si>
  <si>
    <t>아마게몬</t>
  </si>
  <si>
    <t>마왕몬</t>
  </si>
  <si>
    <t>듀크몬크림슨</t>
  </si>
  <si>
    <t>알포스브이드라몬</t>
  </si>
  <si>
    <t>샤인그레이몬:버스트모드</t>
  </si>
  <si>
    <t>속도에따른 명중률 계산기 2 - 값1+ 값1*10%</t>
  </si>
  <si>
    <t>오메가S</t>
  </si>
  <si>
    <t>샤카몬</t>
  </si>
  <si>
    <t>(50+((내BP-상대BP)/10)) + 속성상성보정(우위시, +10%),열세-10%</t>
  </si>
  <si>
    <t>마린엔젤몬</t>
  </si>
  <si>
    <t>샤크라몬X</t>
  </si>
  <si>
    <t>내속도</t>
  </si>
  <si>
    <t>상대속도</t>
  </si>
  <si>
    <t>내속성</t>
  </si>
  <si>
    <t>상대속성</t>
  </si>
  <si>
    <t>값1</t>
  </si>
  <si>
    <t>회피율</t>
  </si>
  <si>
    <t>제스몬</t>
  </si>
  <si>
    <t>불명</t>
  </si>
  <si>
    <t>무르무크스몬</t>
  </si>
  <si>
    <t>에이션트와이즈몬</t>
  </si>
  <si>
    <t>유키나몬</t>
  </si>
  <si>
    <t>시리우스몬</t>
  </si>
  <si>
    <t>카이젤그레이몬</t>
  </si>
  <si>
    <t>프리</t>
  </si>
  <si>
    <t>로제몬</t>
  </si>
  <si>
    <t>레피드몬(황금)</t>
  </si>
  <si>
    <t>기가시드라몬</t>
  </si>
  <si>
    <t>주작몬</t>
  </si>
  <si>
    <t>샤우트몬x7</t>
  </si>
  <si>
    <t>메디벌듀크몬</t>
  </si>
  <si>
    <t>다이노타이거몬</t>
  </si>
  <si>
    <t>듀크몬</t>
  </si>
  <si>
    <t>오메가몬</t>
  </si>
  <si>
    <t>헤클캅</t>
  </si>
  <si>
    <t>카오스듀크몬</t>
  </si>
  <si>
    <t>파라사이몬</t>
  </si>
  <si>
    <t>에이션트메가테리우몬</t>
  </si>
  <si>
    <t>샤우트몬DX</t>
  </si>
  <si>
    <t>에이션트그레이몬</t>
  </si>
  <si>
    <t>메기드라몬</t>
  </si>
  <si>
    <t>에이션트트로이몬</t>
  </si>
  <si>
    <t>벨페몬</t>
  </si>
  <si>
    <t>샤인그레이몬</t>
  </si>
  <si>
    <t>브레이크드라몬</t>
  </si>
  <si>
    <t>디아블로몬</t>
  </si>
  <si>
    <t>건드라몬</t>
  </si>
  <si>
    <t>베르제브몬(C)</t>
  </si>
  <si>
    <t>카오스드라몬</t>
  </si>
  <si>
    <t>피에몬</t>
  </si>
  <si>
    <t>매그너몬</t>
  </si>
  <si>
    <t>볼트몬</t>
  </si>
  <si>
    <t>지크그레이몬</t>
  </si>
  <si>
    <t>황제드라몬:드래곤모드</t>
  </si>
  <si>
    <t>메탈가루몬</t>
  </si>
  <si>
    <t>네오묘티스몬</t>
  </si>
  <si>
    <t>얼티메이트브라키몬</t>
  </si>
  <si>
    <t>파워드라몬</t>
  </si>
  <si>
    <t>블리츠그레이몬</t>
  </si>
  <si>
    <t>워그레이몬</t>
  </si>
  <si>
    <t>베르스타몬</t>
  </si>
  <si>
    <t>노블펌프몬</t>
  </si>
  <si>
    <t>반쵸스팅몬</t>
  </si>
  <si>
    <t>헤비레오몬</t>
  </si>
  <si>
    <t>아르케엔젤몬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</si>
</sst>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3" tint="-0.249977111117893"/>
      <name val="맑은 고딕"/>
      <family val="2"/>
      <scheme val="minor"/>
    </font>
    <font>
      <sz val="11"/>
      <color rgb="FF000000"/>
      <name val="맑은 고딕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/>
    <xf numFmtId="1" fontId="2" fillId="2" borderId="8" xfId="0" applyNumberFormat="1" applyFont="1" applyFill="1" applyBorder="1" applyAlignment="1">
      <alignment horizontal="center"/>
    </xf>
    <xf numFmtId="176" fontId="2" fillId="2" borderId="8" xfId="0" applyNumberFormat="1" applyFont="1" applyFill="1" applyBorder="1" applyAlignment="1">
      <alignment horizontal="center"/>
    </xf>
    <xf numFmtId="176" fontId="2" fillId="2" borderId="9" xfId="0" applyNumberFormat="1" applyFont="1" applyFill="1" applyBorder="1" applyAlignment="1">
      <alignment horizontal="center"/>
    </xf>
    <xf numFmtId="176" fontId="0" fillId="3" borderId="6" xfId="0" applyNumberFormat="1" applyFill="1" applyBorder="1" applyAlignment="1">
      <alignment horizontal="center"/>
    </xf>
    <xf numFmtId="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2" borderId="15" xfId="0" applyFont="1" applyFill="1" applyBorder="1"/>
    <xf numFmtId="1" fontId="2" fillId="2" borderId="16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17" xfId="0" applyNumberFormat="1" applyFont="1" applyFill="1" applyBorder="1" applyAlignment="1">
      <alignment horizontal="center"/>
    </xf>
    <xf numFmtId="176" fontId="0" fillId="3" borderId="14" xfId="0" applyNumberForma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0" borderId="26" xfId="0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7" borderId="10" xfId="0" applyFill="1" applyBorder="1"/>
    <xf numFmtId="0" fontId="0" fillId="7" borderId="18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6" xfId="0" applyBorder="1"/>
    <xf numFmtId="176" fontId="0" fillId="3" borderId="37" xfId="0" applyNumberFormat="1" applyFill="1" applyBorder="1" applyAlignment="1">
      <alignment horizontal="center"/>
    </xf>
    <xf numFmtId="0" fontId="3" fillId="0" borderId="0" xfId="0" applyFont="1"/>
    <xf numFmtId="0" fontId="0" fillId="8" borderId="38" xfId="0" applyFill="1" applyBorder="1"/>
    <xf numFmtId="0" fontId="0" fillId="4" borderId="3" xfId="0" applyFill="1" applyBorder="1"/>
    <xf numFmtId="0" fontId="0" fillId="8" borderId="3" xfId="0" applyFill="1" applyBorder="1"/>
    <xf numFmtId="0" fontId="0" fillId="0" borderId="0" xfId="0" applyAlignment="1">
      <alignment wrapText="1"/>
    </xf>
    <xf numFmtId="0" fontId="0" fillId="8" borderId="39" xfId="0" applyFill="1" applyBorder="1"/>
    <xf numFmtId="0" fontId="0" fillId="4" borderId="40" xfId="0" applyFill="1" applyBorder="1"/>
    <xf numFmtId="0" fontId="0" fillId="8" borderId="40" xfId="0" applyFill="1" applyBorder="1"/>
    <xf numFmtId="0" fontId="0" fillId="0" borderId="41" xfId="0" applyBorder="1" applyAlignment="1">
      <alignment wrapText="1"/>
    </xf>
    <xf numFmtId="0" fontId="0" fillId="6" borderId="38" xfId="0" applyFill="1" applyBorder="1"/>
    <xf numFmtId="0" fontId="0" fillId="6" borderId="3" xfId="0" applyFill="1" applyBorder="1"/>
    <xf numFmtId="0" fontId="0" fillId="4" borderId="36" xfId="0" applyFill="1" applyBorder="1"/>
    <xf numFmtId="0" fontId="0" fillId="7" borderId="38" xfId="0" applyFill="1" applyBorder="1"/>
    <xf numFmtId="0" fontId="0" fillId="7" borderId="36" xfId="0" applyFill="1" applyBorder="1"/>
    <xf numFmtId="0" fontId="0" fillId="6" borderId="39" xfId="0" applyFill="1" applyBorder="1"/>
    <xf numFmtId="0" fontId="0" fillId="6" borderId="40" xfId="0" applyFill="1" applyBorder="1"/>
    <xf numFmtId="0" fontId="0" fillId="4" borderId="41" xfId="0" applyFill="1" applyBorder="1"/>
    <xf numFmtId="0" fontId="0" fillId="7" borderId="39" xfId="0" applyFill="1" applyBorder="1" applyAlignment="1">
      <alignment wrapText="1"/>
    </xf>
    <xf numFmtId="0" fontId="0" fillId="7" borderId="41" xfId="0" applyFill="1" applyBorder="1"/>
    <xf numFmtId="0" fontId="0" fillId="0" borderId="5" xfId="0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workbookViewId="0">
      <selection activeCell="P4" sqref="P4"/>
    </sheetView>
  </sheetViews>
  <sheetFormatPr defaultRowHeight="16.5"/>
  <cols>
    <col min="2" max="2" width="21.875" customWidth="1"/>
    <col min="21" max="21" width="23.125" customWidth="1"/>
  </cols>
  <sheetData>
    <row r="1" spans="1:30">
      <c r="T1" t="s">
        <v>0</v>
      </c>
    </row>
    <row r="2" spans="1:30">
      <c r="F2" s="1" t="s">
        <v>1</v>
      </c>
      <c r="G2" s="1" t="s">
        <v>2</v>
      </c>
      <c r="H2" s="1" t="s">
        <v>2</v>
      </c>
    </row>
    <row r="3" spans="1:30">
      <c r="A3" s="2" t="s">
        <v>3</v>
      </c>
      <c r="B3" s="3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79" t="s">
        <v>11</v>
      </c>
      <c r="J3" t="s">
        <v>12</v>
      </c>
      <c r="T3" s="7" t="s">
        <v>3</v>
      </c>
      <c r="U3" s="3" t="s">
        <v>4</v>
      </c>
      <c r="V3" s="3" t="s">
        <v>13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5" t="s">
        <v>10</v>
      </c>
      <c r="AC3" s="6" t="s">
        <v>11</v>
      </c>
      <c r="AD3" t="s">
        <v>12</v>
      </c>
    </row>
    <row r="4" spans="1:30">
      <c r="A4" s="8">
        <f>_xlfn.RANK.EQ(I4, $I$4:$I$100)</f>
        <v>1</v>
      </c>
      <c r="B4" s="9" t="s">
        <v>14</v>
      </c>
      <c r="C4" s="10">
        <v>345</v>
      </c>
      <c r="D4" s="10">
        <v>165</v>
      </c>
      <c r="E4" s="10">
        <v>160</v>
      </c>
      <c r="F4" s="11">
        <f>C4/15</f>
        <v>23</v>
      </c>
      <c r="G4" s="11">
        <f>D4/5</f>
        <v>33</v>
      </c>
      <c r="H4" s="12">
        <f>E4/5</f>
        <v>32</v>
      </c>
      <c r="I4" s="80">
        <f>F4+G4+H4</f>
        <v>88</v>
      </c>
      <c r="J4" s="14">
        <f>C4+D4+E4</f>
        <v>670</v>
      </c>
      <c r="L4" s="15" t="s">
        <v>15</v>
      </c>
      <c r="M4" s="16"/>
      <c r="N4" s="17"/>
      <c r="T4" s="18">
        <f>_xlfn.RANK.EQ(AC4, $AC$4:$AC$100)</f>
        <v>1</v>
      </c>
      <c r="U4" s="9" t="s">
        <v>16</v>
      </c>
      <c r="V4" s="9" t="s">
        <v>17</v>
      </c>
      <c r="W4" s="10">
        <v>295</v>
      </c>
      <c r="X4" s="10">
        <v>130</v>
      </c>
      <c r="Y4" s="10">
        <v>140</v>
      </c>
      <c r="Z4" s="11">
        <f>W4/15</f>
        <v>19.666666666666668</v>
      </c>
      <c r="AA4" s="11">
        <f>X4/5</f>
        <v>26</v>
      </c>
      <c r="AB4" s="12">
        <f>Y4/5</f>
        <v>28</v>
      </c>
      <c r="AC4" s="13">
        <f>Z4+AA4+AB4</f>
        <v>73.666666666666671</v>
      </c>
      <c r="AD4" s="14">
        <f>W4+X4+Y4</f>
        <v>565</v>
      </c>
    </row>
    <row r="5" spans="1:30">
      <c r="A5" s="19">
        <f>_xlfn.RANK.EQ(I5, $I$4:$I$100)</f>
        <v>2</v>
      </c>
      <c r="B5" s="20" t="s">
        <v>18</v>
      </c>
      <c r="C5" s="21">
        <v>380</v>
      </c>
      <c r="D5" s="21">
        <v>150</v>
      </c>
      <c r="E5" s="21">
        <v>160</v>
      </c>
      <c r="F5" s="22">
        <f>C5/15</f>
        <v>25.333333333333332</v>
      </c>
      <c r="G5" s="22">
        <f>D5/5</f>
        <v>30</v>
      </c>
      <c r="H5" s="23">
        <f>E5/5</f>
        <v>32</v>
      </c>
      <c r="I5" s="24">
        <f>F5+G5+H5</f>
        <v>87.333333333333329</v>
      </c>
      <c r="J5" s="14">
        <f t="shared" ref="J5:J28" si="0">C5+D5+E5</f>
        <v>690</v>
      </c>
      <c r="L5" s="25"/>
      <c r="N5" s="26"/>
      <c r="T5" s="18">
        <f>_xlfn.RANK.EQ(AC5, $AC$4:$AC$100)</f>
        <v>2</v>
      </c>
      <c r="U5" s="9" t="s">
        <v>19</v>
      </c>
      <c r="V5" s="9" t="s">
        <v>20</v>
      </c>
      <c r="W5" s="10">
        <v>275</v>
      </c>
      <c r="X5" s="10">
        <v>125</v>
      </c>
      <c r="Y5" s="10">
        <v>150</v>
      </c>
      <c r="Z5" s="11">
        <f>W5/15</f>
        <v>18.333333333333332</v>
      </c>
      <c r="AA5" s="11">
        <f>X5/5</f>
        <v>25</v>
      </c>
      <c r="AB5" s="12">
        <f>Y5/5</f>
        <v>30</v>
      </c>
      <c r="AC5" s="13">
        <f>Z5+AA5+AB5</f>
        <v>73.333333333333329</v>
      </c>
      <c r="AD5" s="14">
        <f>W5+X5+Y5</f>
        <v>550</v>
      </c>
    </row>
    <row r="6" spans="1:30">
      <c r="A6" s="19">
        <f>_xlfn.RANK.EQ(I6, $I$4:$I$100)</f>
        <v>3</v>
      </c>
      <c r="B6" s="20" t="s">
        <v>21</v>
      </c>
      <c r="C6" s="21">
        <v>390</v>
      </c>
      <c r="D6" s="21">
        <v>165</v>
      </c>
      <c r="E6" s="21">
        <v>140</v>
      </c>
      <c r="F6" s="22">
        <f>C6/15</f>
        <v>26</v>
      </c>
      <c r="G6" s="22">
        <f>D6/5</f>
        <v>33</v>
      </c>
      <c r="H6" s="23">
        <f>E6/5</f>
        <v>28</v>
      </c>
      <c r="I6" s="24">
        <f>F6+G6+H6</f>
        <v>87</v>
      </c>
      <c r="J6" s="14">
        <f t="shared" si="0"/>
        <v>695</v>
      </c>
      <c r="L6" s="25" t="s">
        <v>22</v>
      </c>
      <c r="N6" s="26"/>
      <c r="T6" s="18">
        <f>_xlfn.RANK.EQ(AC6, $AC$4:$AC$100)</f>
        <v>2</v>
      </c>
      <c r="U6" s="9" t="s">
        <v>23</v>
      </c>
      <c r="V6" s="9" t="s">
        <v>17</v>
      </c>
      <c r="W6" s="10">
        <v>275</v>
      </c>
      <c r="X6" s="10">
        <v>125</v>
      </c>
      <c r="Y6" s="10">
        <v>150</v>
      </c>
      <c r="Z6" s="11">
        <f>W6/15</f>
        <v>18.333333333333332</v>
      </c>
      <c r="AA6" s="11">
        <f>X6/5</f>
        <v>25</v>
      </c>
      <c r="AB6" s="12">
        <f>Y6/5</f>
        <v>30</v>
      </c>
      <c r="AC6" s="13">
        <f>Z6+AA6+AB6</f>
        <v>73.333333333333329</v>
      </c>
      <c r="AD6" s="14">
        <f>W6+X6+Y6</f>
        <v>550</v>
      </c>
    </row>
    <row r="7" spans="1:30">
      <c r="A7" s="19">
        <f>_xlfn.RANK.EQ(I7, $I$4:$I$100)</f>
        <v>3</v>
      </c>
      <c r="B7" s="20" t="s">
        <v>24</v>
      </c>
      <c r="C7" s="21">
        <v>390</v>
      </c>
      <c r="D7" s="21">
        <v>165</v>
      </c>
      <c r="E7" s="21">
        <v>140</v>
      </c>
      <c r="F7" s="22">
        <f>C7/15</f>
        <v>26</v>
      </c>
      <c r="G7" s="22">
        <f>D7/5</f>
        <v>33</v>
      </c>
      <c r="H7" s="23">
        <f>E7/5</f>
        <v>28</v>
      </c>
      <c r="I7" s="24">
        <f>F7+G7+H7</f>
        <v>87</v>
      </c>
      <c r="J7" s="14">
        <f t="shared" si="0"/>
        <v>695</v>
      </c>
      <c r="L7" s="25" t="s">
        <v>25</v>
      </c>
      <c r="N7" s="26"/>
      <c r="T7" s="18">
        <f>_xlfn.RANK.EQ(AC7, $AC$4:$AC$100)</f>
        <v>4</v>
      </c>
      <c r="U7" s="9" t="s">
        <v>26</v>
      </c>
      <c r="V7" s="9" t="s">
        <v>27</v>
      </c>
      <c r="W7" s="10">
        <v>260</v>
      </c>
      <c r="X7" s="10">
        <v>135</v>
      </c>
      <c r="Y7" s="10">
        <v>140</v>
      </c>
      <c r="Z7" s="11">
        <f>W7/15</f>
        <v>17.333333333333332</v>
      </c>
      <c r="AA7" s="11">
        <f>X7/5</f>
        <v>27</v>
      </c>
      <c r="AB7" s="12">
        <f>Y7/5</f>
        <v>28</v>
      </c>
      <c r="AC7" s="13">
        <f>Z7+AA7+AB7</f>
        <v>72.333333333333329</v>
      </c>
      <c r="AD7" s="14">
        <f>W7+X7+Y7</f>
        <v>535</v>
      </c>
    </row>
    <row r="8" spans="1:30">
      <c r="A8" s="19">
        <f>_xlfn.RANK.EQ(I8, $I$4:$I$100)</f>
        <v>5</v>
      </c>
      <c r="B8" s="20" t="s">
        <v>28</v>
      </c>
      <c r="C8" s="21">
        <v>355</v>
      </c>
      <c r="D8" s="21">
        <v>165</v>
      </c>
      <c r="E8" s="21">
        <v>150</v>
      </c>
      <c r="F8" s="22">
        <f>C8/15</f>
        <v>23.666666666666668</v>
      </c>
      <c r="G8" s="22">
        <f>D8/5</f>
        <v>33</v>
      </c>
      <c r="H8" s="23">
        <f>E8/5</f>
        <v>30</v>
      </c>
      <c r="I8" s="24">
        <f>F8+G8+H8</f>
        <v>86.666666666666671</v>
      </c>
      <c r="J8" s="14">
        <f t="shared" si="0"/>
        <v>670</v>
      </c>
      <c r="L8" s="27" t="s">
        <v>29</v>
      </c>
      <c r="M8" s="28"/>
      <c r="N8" s="29"/>
      <c r="T8" s="18">
        <f>_xlfn.RANK.EQ(AC8, $AC$4:$AC$100)</f>
        <v>5</v>
      </c>
      <c r="U8" s="9" t="s">
        <v>30</v>
      </c>
      <c r="V8" s="9" t="s">
        <v>17</v>
      </c>
      <c r="W8" s="10">
        <v>255</v>
      </c>
      <c r="X8" s="10">
        <v>125</v>
      </c>
      <c r="Y8" s="10">
        <v>150</v>
      </c>
      <c r="Z8" s="11">
        <f>W8/15</f>
        <v>17</v>
      </c>
      <c r="AA8" s="11">
        <f>X8/5</f>
        <v>25</v>
      </c>
      <c r="AB8" s="12">
        <f>Y8/5</f>
        <v>30</v>
      </c>
      <c r="AC8" s="13">
        <f>Z8+AA8+AB8</f>
        <v>72</v>
      </c>
      <c r="AD8" s="14">
        <f>W8+X8+Y8</f>
        <v>530</v>
      </c>
    </row>
    <row r="9" spans="1:30">
      <c r="A9" s="19">
        <f>_xlfn.RANK.EQ(I9, $I$4:$I$100)</f>
        <v>6</v>
      </c>
      <c r="B9" s="20" t="s">
        <v>31</v>
      </c>
      <c r="C9" s="21">
        <v>380</v>
      </c>
      <c r="D9" s="21">
        <v>165</v>
      </c>
      <c r="E9" s="21">
        <v>140</v>
      </c>
      <c r="F9" s="22">
        <f>C9/15</f>
        <v>25.333333333333332</v>
      </c>
      <c r="G9" s="22">
        <f>D9/5</f>
        <v>33</v>
      </c>
      <c r="H9" s="23">
        <f>E9/5</f>
        <v>28</v>
      </c>
      <c r="I9" s="24">
        <f>F9+G9+H9</f>
        <v>86.333333333333329</v>
      </c>
      <c r="J9" s="14">
        <f t="shared" si="0"/>
        <v>685</v>
      </c>
      <c r="T9" s="18">
        <f>_xlfn.RANK.EQ(AC9, $AC$4:$AC$100)</f>
        <v>5</v>
      </c>
      <c r="U9" s="9" t="s">
        <v>32</v>
      </c>
      <c r="V9" s="9" t="s">
        <v>17</v>
      </c>
      <c r="W9" s="10">
        <v>285</v>
      </c>
      <c r="X9" s="10">
        <v>125</v>
      </c>
      <c r="Y9" s="10">
        <v>140</v>
      </c>
      <c r="Z9" s="11">
        <f>W9/15</f>
        <v>19</v>
      </c>
      <c r="AA9" s="11">
        <f>X9/5</f>
        <v>25</v>
      </c>
      <c r="AB9" s="12">
        <f>Y9/5</f>
        <v>28</v>
      </c>
      <c r="AC9" s="13">
        <f>Z9+AA9+AB9</f>
        <v>72</v>
      </c>
      <c r="AD9" s="14">
        <f>W9+X9+Y9</f>
        <v>550</v>
      </c>
    </row>
    <row r="10" spans="1:30">
      <c r="A10" s="19">
        <f>_xlfn.RANK.EQ(I10, $I$4:$I$100)</f>
        <v>6</v>
      </c>
      <c r="B10" s="20" t="s">
        <v>33</v>
      </c>
      <c r="C10" s="21">
        <v>380</v>
      </c>
      <c r="D10" s="21">
        <v>185</v>
      </c>
      <c r="E10" s="21">
        <v>120</v>
      </c>
      <c r="F10" s="22">
        <f>C10/15</f>
        <v>25.333333333333332</v>
      </c>
      <c r="G10" s="22">
        <f>D10/5</f>
        <v>37</v>
      </c>
      <c r="H10" s="23">
        <f>E10/5</f>
        <v>24</v>
      </c>
      <c r="I10" s="24">
        <f>F10+G10+H10</f>
        <v>86.333333333333329</v>
      </c>
      <c r="J10" s="14">
        <f t="shared" si="0"/>
        <v>685</v>
      </c>
      <c r="T10" s="18">
        <f>_xlfn.RANK.EQ(AC10, $AC$4:$AC$100)</f>
        <v>5</v>
      </c>
      <c r="U10" s="9" t="s">
        <v>34</v>
      </c>
      <c r="V10" s="9" t="s">
        <v>27</v>
      </c>
      <c r="W10" s="10">
        <v>285</v>
      </c>
      <c r="X10" s="10">
        <v>125</v>
      </c>
      <c r="Y10" s="10">
        <v>140</v>
      </c>
      <c r="Z10" s="11">
        <f>W10/15</f>
        <v>19</v>
      </c>
      <c r="AA10" s="11">
        <f>X10/5</f>
        <v>25</v>
      </c>
      <c r="AB10" s="12">
        <f>Y10/5</f>
        <v>28</v>
      </c>
      <c r="AC10" s="13">
        <f>Z10+AA10+AB10</f>
        <v>72</v>
      </c>
      <c r="AD10" s="14">
        <f>W10+X10+Y10</f>
        <v>550</v>
      </c>
    </row>
    <row r="11" spans="1:30">
      <c r="A11" s="19">
        <f>_xlfn.RANK.EQ(I11, $I$4:$I$100)</f>
        <v>8</v>
      </c>
      <c r="B11" s="20" t="s">
        <v>35</v>
      </c>
      <c r="C11" s="21">
        <v>400</v>
      </c>
      <c r="D11" s="21">
        <v>175</v>
      </c>
      <c r="E11" s="21">
        <v>120</v>
      </c>
      <c r="F11" s="22">
        <f>C11/15</f>
        <v>26.666666666666668</v>
      </c>
      <c r="G11" s="22">
        <f>D11/5</f>
        <v>35</v>
      </c>
      <c r="H11" s="23">
        <f>E11/5</f>
        <v>24</v>
      </c>
      <c r="I11" s="24">
        <f>F11+G11+H11</f>
        <v>85.666666666666671</v>
      </c>
      <c r="J11" s="14">
        <f t="shared" si="0"/>
        <v>695</v>
      </c>
      <c r="L11" s="15" t="s">
        <v>36</v>
      </c>
      <c r="M11" s="15" t="s">
        <v>5</v>
      </c>
      <c r="N11" s="16" t="s">
        <v>6</v>
      </c>
      <c r="O11" s="16" t="s">
        <v>7</v>
      </c>
      <c r="P11" s="30" t="s">
        <v>37</v>
      </c>
      <c r="T11" s="18">
        <f>_xlfn.RANK.EQ(AC11, $AC$4:$AC$100)</f>
        <v>8</v>
      </c>
      <c r="U11" s="9" t="s">
        <v>38</v>
      </c>
      <c r="V11" s="9" t="s">
        <v>27</v>
      </c>
      <c r="W11" s="10">
        <v>280</v>
      </c>
      <c r="X11" s="10">
        <v>115</v>
      </c>
      <c r="Y11" s="10">
        <v>150</v>
      </c>
      <c r="Z11" s="11">
        <f>W11/15</f>
        <v>18.666666666666668</v>
      </c>
      <c r="AA11" s="11">
        <f>X11/5</f>
        <v>23</v>
      </c>
      <c r="AB11" s="12">
        <f>Y11/5</f>
        <v>30</v>
      </c>
      <c r="AC11" s="13">
        <f>Z11+AA11+AB11</f>
        <v>71.666666666666671</v>
      </c>
      <c r="AD11" s="14">
        <f>W11+X11+Y11</f>
        <v>545</v>
      </c>
    </row>
    <row r="12" spans="1:30">
      <c r="A12" s="19">
        <f>_xlfn.RANK.EQ(I12, $I$4:$I$100)</f>
        <v>9</v>
      </c>
      <c r="B12" s="20" t="s">
        <v>39</v>
      </c>
      <c r="C12" s="21">
        <v>380</v>
      </c>
      <c r="D12" s="21">
        <v>180</v>
      </c>
      <c r="E12" s="21">
        <v>120</v>
      </c>
      <c r="F12" s="22">
        <f>C12/15</f>
        <v>25.333333333333332</v>
      </c>
      <c r="G12" s="22">
        <f>D12/5</f>
        <v>36</v>
      </c>
      <c r="H12" s="23">
        <f>E12/5</f>
        <v>24</v>
      </c>
      <c r="I12" s="24">
        <f>F12+G12+H12</f>
        <v>85.333333333333329</v>
      </c>
      <c r="J12" s="14">
        <f t="shared" si="0"/>
        <v>680</v>
      </c>
      <c r="L12" s="25" t="s">
        <v>40</v>
      </c>
      <c r="M12" s="31">
        <v>420</v>
      </c>
      <c r="N12" s="32">
        <v>135</v>
      </c>
      <c r="O12" s="32">
        <v>140</v>
      </c>
      <c r="P12" s="33">
        <f>(M16+M17)+(N16+N17)+(O16+O17)</f>
        <v>118.8</v>
      </c>
      <c r="T12" s="18">
        <f>_xlfn.RANK.EQ(AC12, $AC$4:$AC$100)</f>
        <v>9</v>
      </c>
      <c r="U12" s="9" t="s">
        <v>41</v>
      </c>
      <c r="V12" s="9" t="s">
        <v>17</v>
      </c>
      <c r="W12" s="10">
        <v>290</v>
      </c>
      <c r="X12" s="10">
        <v>120</v>
      </c>
      <c r="Y12" s="10">
        <v>140</v>
      </c>
      <c r="Z12" s="11">
        <f>W12/15</f>
        <v>19.333333333333332</v>
      </c>
      <c r="AA12" s="11">
        <f>X12/5</f>
        <v>24</v>
      </c>
      <c r="AB12" s="12">
        <f>Y12/5</f>
        <v>28</v>
      </c>
      <c r="AC12" s="13">
        <f>Z12+AA12+AB12</f>
        <v>71.333333333333329</v>
      </c>
      <c r="AD12" s="14">
        <f>W12+X12+Y12</f>
        <v>550</v>
      </c>
    </row>
    <row r="13" spans="1:30">
      <c r="A13" s="19">
        <f>_xlfn.RANK.EQ(I13, $I$4:$I$100)</f>
        <v>9</v>
      </c>
      <c r="B13" s="20" t="s">
        <v>42</v>
      </c>
      <c r="C13" s="21">
        <v>365</v>
      </c>
      <c r="D13" s="21">
        <v>155</v>
      </c>
      <c r="E13" s="21">
        <v>150</v>
      </c>
      <c r="F13" s="22">
        <f>C13/15</f>
        <v>24.333333333333332</v>
      </c>
      <c r="G13" s="22">
        <f>D13/5</f>
        <v>31</v>
      </c>
      <c r="H13" s="23">
        <f>E13/5</f>
        <v>30</v>
      </c>
      <c r="I13" s="24">
        <f>F13+G13+H13</f>
        <v>85.333333333333329</v>
      </c>
      <c r="J13" s="14">
        <f t="shared" si="0"/>
        <v>670</v>
      </c>
      <c r="L13" s="34" t="s">
        <v>43</v>
      </c>
      <c r="M13" s="35"/>
      <c r="N13" s="36"/>
      <c r="O13" s="37"/>
      <c r="P13" s="30" t="s">
        <v>44</v>
      </c>
      <c r="T13" s="18">
        <f>_xlfn.RANK.EQ(AC13, $AC$4:$AC$100)</f>
        <v>10</v>
      </c>
      <c r="U13" s="9" t="s">
        <v>45</v>
      </c>
      <c r="V13" s="9" t="s">
        <v>27</v>
      </c>
      <c r="W13" s="10">
        <v>285</v>
      </c>
      <c r="X13" s="10">
        <v>110</v>
      </c>
      <c r="Y13" s="10">
        <v>150</v>
      </c>
      <c r="Z13" s="11">
        <f>W13/15</f>
        <v>19</v>
      </c>
      <c r="AA13" s="11">
        <f>X13/5</f>
        <v>22</v>
      </c>
      <c r="AB13" s="12">
        <f>Y13/5</f>
        <v>30</v>
      </c>
      <c r="AC13" s="13">
        <f>Z13+AA13+AB13</f>
        <v>71</v>
      </c>
      <c r="AD13" s="14">
        <f>W13+X13+Y13</f>
        <v>545</v>
      </c>
    </row>
    <row r="14" spans="1:30">
      <c r="A14" s="19">
        <f>_xlfn.RANK.EQ(I14, $I$4:$I$100)</f>
        <v>11</v>
      </c>
      <c r="B14" s="20" t="s">
        <v>46</v>
      </c>
      <c r="C14" s="21">
        <v>360</v>
      </c>
      <c r="D14" s="21">
        <v>175</v>
      </c>
      <c r="E14" s="21">
        <v>130</v>
      </c>
      <c r="F14" s="22">
        <f>C14/15</f>
        <v>24</v>
      </c>
      <c r="G14" s="22">
        <f>D14/5</f>
        <v>35</v>
      </c>
      <c r="H14" s="23">
        <f>E14/5</f>
        <v>26</v>
      </c>
      <c r="I14" s="24">
        <f>F14+G14+H14</f>
        <v>85</v>
      </c>
      <c r="J14" s="14">
        <f t="shared" si="0"/>
        <v>665</v>
      </c>
      <c r="L14" s="38" t="s">
        <v>47</v>
      </c>
      <c r="M14" s="39">
        <v>4</v>
      </c>
      <c r="N14" s="40">
        <v>9</v>
      </c>
      <c r="O14" s="41">
        <v>10</v>
      </c>
      <c r="P14" s="42">
        <f>M13+N13+O13+M14+N14+O14+M15+N15+O15</f>
        <v>30</v>
      </c>
      <c r="T14" s="18">
        <f>_xlfn.RANK.EQ(AC14, $AC$4:$AC$100)</f>
        <v>10</v>
      </c>
      <c r="U14" s="9" t="s">
        <v>48</v>
      </c>
      <c r="V14" s="9" t="s">
        <v>20</v>
      </c>
      <c r="W14" s="10">
        <v>285</v>
      </c>
      <c r="X14" s="10">
        <v>120</v>
      </c>
      <c r="Y14" s="10">
        <v>140</v>
      </c>
      <c r="Z14" s="11">
        <f>W14/15</f>
        <v>19</v>
      </c>
      <c r="AA14" s="11">
        <f>X14/5</f>
        <v>24</v>
      </c>
      <c r="AB14" s="12">
        <f>Y14/5</f>
        <v>28</v>
      </c>
      <c r="AC14" s="13">
        <f>Z14+AA14+AB14</f>
        <v>71</v>
      </c>
      <c r="AD14" s="14">
        <f>W14+X14+Y14</f>
        <v>545</v>
      </c>
    </row>
    <row r="15" spans="1:30">
      <c r="A15" s="19">
        <f>_xlfn.RANK.EQ(I15, $I$4:$I$100)</f>
        <v>12</v>
      </c>
      <c r="B15" s="20" t="s">
        <v>49</v>
      </c>
      <c r="C15" s="21">
        <v>400</v>
      </c>
      <c r="D15" s="21">
        <v>170</v>
      </c>
      <c r="E15" s="21">
        <v>120</v>
      </c>
      <c r="F15" s="22">
        <f>C15/15</f>
        <v>26.666666666666668</v>
      </c>
      <c r="G15" s="22">
        <f>D15/5</f>
        <v>34</v>
      </c>
      <c r="H15" s="23">
        <f>E15/5</f>
        <v>24</v>
      </c>
      <c r="I15" s="24">
        <f>F15+G15+H15</f>
        <v>84.666666666666671</v>
      </c>
      <c r="J15" s="14">
        <f t="shared" si="0"/>
        <v>690</v>
      </c>
      <c r="L15" s="43" t="s">
        <v>50</v>
      </c>
      <c r="M15" s="44">
        <v>4</v>
      </c>
      <c r="N15" s="45">
        <v>1</v>
      </c>
      <c r="O15" s="46">
        <v>2</v>
      </c>
      <c r="P15" s="33" t="s">
        <v>51</v>
      </c>
      <c r="T15" s="18">
        <f>_xlfn.RANK.EQ(AC15, $AC$4:$AC$100)</f>
        <v>10</v>
      </c>
      <c r="U15" s="9" t="s">
        <v>52</v>
      </c>
      <c r="V15" s="9" t="s">
        <v>17</v>
      </c>
      <c r="W15" s="10">
        <v>285</v>
      </c>
      <c r="X15" s="10">
        <v>120</v>
      </c>
      <c r="Y15" s="10">
        <v>140</v>
      </c>
      <c r="Z15" s="11">
        <f>W15/15</f>
        <v>19</v>
      </c>
      <c r="AA15" s="11">
        <f>X15/5</f>
        <v>24</v>
      </c>
      <c r="AB15" s="12">
        <f>Y15/5</f>
        <v>28</v>
      </c>
      <c r="AC15" s="13">
        <f>Z15+AA15+AB15</f>
        <v>71</v>
      </c>
      <c r="AD15" s="14">
        <f>W15+X15+Y15</f>
        <v>545</v>
      </c>
    </row>
    <row r="16" spans="1:30">
      <c r="A16" s="19">
        <f>_xlfn.RANK.EQ(I16, $I$4:$I$100)</f>
        <v>13</v>
      </c>
      <c r="B16" s="20" t="s">
        <v>53</v>
      </c>
      <c r="C16" s="21">
        <v>395</v>
      </c>
      <c r="D16" s="21">
        <v>170</v>
      </c>
      <c r="E16" s="21">
        <v>120</v>
      </c>
      <c r="F16" s="22">
        <f>C16/15</f>
        <v>26.333333333333332</v>
      </c>
      <c r="G16" s="22">
        <f>D16/5</f>
        <v>34</v>
      </c>
      <c r="H16" s="23">
        <f>E16/5</f>
        <v>24</v>
      </c>
      <c r="I16" s="24">
        <f>F16+G16+H16</f>
        <v>84.333333333333329</v>
      </c>
      <c r="J16" s="14">
        <f t="shared" si="0"/>
        <v>685</v>
      </c>
      <c r="L16" s="25" t="s">
        <v>54</v>
      </c>
      <c r="M16" s="47">
        <f>(M12/15)</f>
        <v>28</v>
      </c>
      <c r="N16" s="48">
        <f>(N12/5)</f>
        <v>27</v>
      </c>
      <c r="O16" s="49">
        <f>(O12/5)</f>
        <v>28</v>
      </c>
      <c r="P16" s="33">
        <f>M16+N16+O16</f>
        <v>83</v>
      </c>
      <c r="T16" s="18">
        <f>_xlfn.RANK.EQ(AC16, $AC$4:$AC$100)</f>
        <v>10</v>
      </c>
      <c r="U16" s="9" t="s">
        <v>55</v>
      </c>
      <c r="V16" s="9" t="s">
        <v>20</v>
      </c>
      <c r="W16" s="10">
        <v>285</v>
      </c>
      <c r="X16" s="10">
        <v>110</v>
      </c>
      <c r="Y16" s="10">
        <v>150</v>
      </c>
      <c r="Z16" s="11">
        <f>W16/15</f>
        <v>19</v>
      </c>
      <c r="AA16" s="11">
        <f>X16/5</f>
        <v>22</v>
      </c>
      <c r="AB16" s="12">
        <f>Y16/5</f>
        <v>30</v>
      </c>
      <c r="AC16" s="13">
        <f>Z16+AA16+AB16</f>
        <v>71</v>
      </c>
      <c r="AD16" s="14">
        <f>W16+X16+Y16</f>
        <v>545</v>
      </c>
    </row>
    <row r="17" spans="1:30">
      <c r="A17" s="19">
        <f>_xlfn.RANK.EQ(I17, $I$4:$I$100)</f>
        <v>14</v>
      </c>
      <c r="B17" s="20" t="s">
        <v>56</v>
      </c>
      <c r="C17" s="21">
        <v>345</v>
      </c>
      <c r="D17" s="21">
        <v>145</v>
      </c>
      <c r="E17" s="21">
        <v>160</v>
      </c>
      <c r="F17" s="22">
        <f>C17/15</f>
        <v>23</v>
      </c>
      <c r="G17" s="22">
        <f>D17/5</f>
        <v>29</v>
      </c>
      <c r="H17" s="23">
        <f>E17/5</f>
        <v>32</v>
      </c>
      <c r="I17" s="24">
        <f>F17+G17+H17</f>
        <v>84</v>
      </c>
      <c r="J17" s="14">
        <f t="shared" si="0"/>
        <v>650</v>
      </c>
      <c r="L17" s="25" t="s">
        <v>57</v>
      </c>
      <c r="M17" s="50">
        <f>(M13*0)+(M14*1)+(M15*1.7)</f>
        <v>10.8</v>
      </c>
      <c r="N17" s="51">
        <f>(N13*0)+(N14*1)+(N15*2)</f>
        <v>11</v>
      </c>
      <c r="O17" s="52">
        <f>(O13*0)+(O14*1)+(O15*2)</f>
        <v>14</v>
      </c>
      <c r="P17" s="30" t="s">
        <v>58</v>
      </c>
      <c r="T17" s="18">
        <f>_xlfn.RANK.EQ(AC17, $AC$4:$AC$100)</f>
        <v>14</v>
      </c>
      <c r="U17" s="9" t="s">
        <v>59</v>
      </c>
      <c r="V17" s="9" t="s">
        <v>27</v>
      </c>
      <c r="W17" s="10">
        <v>280</v>
      </c>
      <c r="X17" s="10">
        <v>120</v>
      </c>
      <c r="Y17" s="10">
        <v>140</v>
      </c>
      <c r="Z17" s="11">
        <f>W17/15</f>
        <v>18.666666666666668</v>
      </c>
      <c r="AA17" s="11">
        <f>X17/5</f>
        <v>24</v>
      </c>
      <c r="AB17" s="12">
        <f>Y17/5</f>
        <v>28</v>
      </c>
      <c r="AC17" s="13">
        <f>Z17+AA17+AB17</f>
        <v>70.666666666666671</v>
      </c>
      <c r="AD17" s="14">
        <f>W17+X17+Y17</f>
        <v>540</v>
      </c>
    </row>
    <row r="18" spans="1:30">
      <c r="A18" s="19">
        <f>_xlfn.RANK.EQ(I18, $I$4:$I$100)</f>
        <v>14</v>
      </c>
      <c r="B18" s="20" t="s">
        <v>60</v>
      </c>
      <c r="C18" s="21">
        <v>420</v>
      </c>
      <c r="D18" s="21">
        <v>160</v>
      </c>
      <c r="E18" s="21">
        <v>120</v>
      </c>
      <c r="F18" s="22">
        <f>C18/15</f>
        <v>28</v>
      </c>
      <c r="G18" s="22">
        <f>D18/5</f>
        <v>32</v>
      </c>
      <c r="H18" s="23">
        <f>E18/5</f>
        <v>24</v>
      </c>
      <c r="I18" s="24">
        <f>F18+G18+H18</f>
        <v>84</v>
      </c>
      <c r="J18" s="14">
        <f t="shared" si="0"/>
        <v>700</v>
      </c>
      <c r="L18" s="53" t="s">
        <v>61</v>
      </c>
      <c r="M18" s="54">
        <f>M12+(M14*15)+(M15*25)</f>
        <v>580</v>
      </c>
      <c r="N18" s="54">
        <f>N12+(N14*5)+(N15*10)</f>
        <v>190</v>
      </c>
      <c r="O18" s="54">
        <f>O12+(O14*5)+(O15*10)</f>
        <v>210</v>
      </c>
      <c r="P18" s="33">
        <f>M17+N17+O17</f>
        <v>35.799999999999997</v>
      </c>
      <c r="T18" s="18">
        <f>_xlfn.RANK.EQ(AC18, $AC$4:$AC$100)</f>
        <v>14</v>
      </c>
      <c r="U18" s="9" t="s">
        <v>62</v>
      </c>
      <c r="V18" s="9" t="s">
        <v>27</v>
      </c>
      <c r="W18" s="10">
        <v>295</v>
      </c>
      <c r="X18" s="10">
        <v>115</v>
      </c>
      <c r="Y18" s="10">
        <v>140</v>
      </c>
      <c r="Z18" s="11">
        <f>W18/15</f>
        <v>19.666666666666668</v>
      </c>
      <c r="AA18" s="11">
        <f>X18/5</f>
        <v>23</v>
      </c>
      <c r="AB18" s="12">
        <f>Y18/5</f>
        <v>28</v>
      </c>
      <c r="AC18" s="13">
        <f>Z18+AA18+AB18</f>
        <v>70.666666666666671</v>
      </c>
      <c r="AD18" s="14">
        <f>W18+X18+Y18</f>
        <v>550</v>
      </c>
    </row>
    <row r="19" spans="1:30">
      <c r="A19" s="19">
        <f>_xlfn.RANK.EQ(I19, $I$4:$I$100)</f>
        <v>14</v>
      </c>
      <c r="B19" s="20" t="s">
        <v>63</v>
      </c>
      <c r="C19" s="21">
        <v>405</v>
      </c>
      <c r="D19" s="21">
        <v>155</v>
      </c>
      <c r="E19" s="21">
        <v>130</v>
      </c>
      <c r="F19" s="22">
        <f>C19/15</f>
        <v>27</v>
      </c>
      <c r="G19" s="22">
        <f>D19/5</f>
        <v>31</v>
      </c>
      <c r="H19" s="23">
        <f>E19/5</f>
        <v>26</v>
      </c>
      <c r="I19" s="24">
        <f>F19+G19+H19</f>
        <v>84</v>
      </c>
      <c r="J19" s="14">
        <f t="shared" si="0"/>
        <v>690</v>
      </c>
      <c r="L19" s="55" t="s">
        <v>64</v>
      </c>
      <c r="M19" s="56">
        <f>M18-M12</f>
        <v>160</v>
      </c>
      <c r="N19" s="57">
        <f>N18-N12</f>
        <v>55</v>
      </c>
      <c r="O19" s="57">
        <f>O18-O12</f>
        <v>70</v>
      </c>
      <c r="P19" s="58">
        <f>P18-30</f>
        <v>5.7999999999999972</v>
      </c>
      <c r="T19" s="18">
        <f>_xlfn.RANK.EQ(AC19, $AC$4:$AC$100)</f>
        <v>16</v>
      </c>
      <c r="U19" s="9" t="s">
        <v>65</v>
      </c>
      <c r="V19" s="9" t="s">
        <v>17</v>
      </c>
      <c r="W19" s="10">
        <v>290</v>
      </c>
      <c r="X19" s="10">
        <v>115</v>
      </c>
      <c r="Y19" s="10">
        <v>140</v>
      </c>
      <c r="Z19" s="11">
        <f>W19/15</f>
        <v>19.333333333333332</v>
      </c>
      <c r="AA19" s="11">
        <f>X19/5</f>
        <v>23</v>
      </c>
      <c r="AB19" s="12">
        <f>Y19/5</f>
        <v>28</v>
      </c>
      <c r="AC19" s="13">
        <f>Z19+AA19+AB19</f>
        <v>70.333333333333329</v>
      </c>
      <c r="AD19" s="14">
        <f>W19+X19+Y19</f>
        <v>545</v>
      </c>
    </row>
    <row r="20" spans="1:30">
      <c r="A20" s="19">
        <f>_xlfn.RANK.EQ(I20, $I$4:$I$100)</f>
        <v>14</v>
      </c>
      <c r="B20" s="20" t="s">
        <v>66</v>
      </c>
      <c r="C20" s="21">
        <v>390</v>
      </c>
      <c r="D20" s="21">
        <v>170</v>
      </c>
      <c r="E20" s="21">
        <v>120</v>
      </c>
      <c r="F20" s="22">
        <f>C20/15</f>
        <v>26</v>
      </c>
      <c r="G20" s="22">
        <f>D20/5</f>
        <v>34</v>
      </c>
      <c r="H20" s="23">
        <f>E20/5</f>
        <v>24</v>
      </c>
      <c r="I20" s="24">
        <f>F20+G20+H20</f>
        <v>84</v>
      </c>
      <c r="J20" s="14">
        <f t="shared" si="0"/>
        <v>680</v>
      </c>
      <c r="T20" s="18">
        <f>_xlfn.RANK.EQ(AC20, $AC$4:$AC$100)</f>
        <v>17</v>
      </c>
      <c r="U20" s="9" t="s">
        <v>67</v>
      </c>
      <c r="V20" s="9" t="s">
        <v>20</v>
      </c>
      <c r="W20" s="10">
        <v>300</v>
      </c>
      <c r="X20" s="10">
        <v>110</v>
      </c>
      <c r="Y20" s="10">
        <v>140</v>
      </c>
      <c r="Z20" s="11">
        <f>W20/15</f>
        <v>20</v>
      </c>
      <c r="AA20" s="11">
        <f>X20/5</f>
        <v>22</v>
      </c>
      <c r="AB20" s="12">
        <f>Y20/5</f>
        <v>28</v>
      </c>
      <c r="AC20" s="13">
        <f>Z20+AA20+AB20</f>
        <v>70</v>
      </c>
      <c r="AD20" s="14">
        <f>W20+X20+Y20</f>
        <v>550</v>
      </c>
    </row>
    <row r="21" spans="1:30">
      <c r="A21" s="19">
        <f>_xlfn.RANK.EQ(I21, $I$4:$I$100)</f>
        <v>14</v>
      </c>
      <c r="B21" s="20" t="s">
        <v>68</v>
      </c>
      <c r="C21" s="21">
        <v>375</v>
      </c>
      <c r="D21" s="21">
        <v>185</v>
      </c>
      <c r="E21" s="21">
        <v>110</v>
      </c>
      <c r="F21" s="22">
        <f>C21/15</f>
        <v>25</v>
      </c>
      <c r="G21" s="22">
        <f>D21/5</f>
        <v>37</v>
      </c>
      <c r="H21" s="23">
        <f>E21/5</f>
        <v>22</v>
      </c>
      <c r="I21" s="24">
        <f>F21+G21+H21</f>
        <v>84</v>
      </c>
      <c r="J21" s="14">
        <f t="shared" si="0"/>
        <v>670</v>
      </c>
      <c r="T21" s="18">
        <f>_xlfn.RANK.EQ(AC21, $AC$4:$AC$100)</f>
        <v>17</v>
      </c>
      <c r="U21" s="9" t="s">
        <v>69</v>
      </c>
      <c r="V21" s="9" t="s">
        <v>17</v>
      </c>
      <c r="W21" s="10">
        <v>300</v>
      </c>
      <c r="X21" s="10">
        <v>110</v>
      </c>
      <c r="Y21" s="10">
        <v>140</v>
      </c>
      <c r="Z21" s="11">
        <f>W21/15</f>
        <v>20</v>
      </c>
      <c r="AA21" s="11">
        <f>X21/5</f>
        <v>22</v>
      </c>
      <c r="AB21" s="12">
        <f>Y21/5</f>
        <v>28</v>
      </c>
      <c r="AC21" s="13">
        <f>Z21+AA21+AB21</f>
        <v>70</v>
      </c>
      <c r="AD21" s="14">
        <f>W21+X21+Y21</f>
        <v>550</v>
      </c>
    </row>
    <row r="22" spans="1:30">
      <c r="A22" s="19">
        <f>_xlfn.RANK.EQ(I22, $I$4:$I$100)</f>
        <v>19</v>
      </c>
      <c r="B22" s="20" t="s">
        <v>70</v>
      </c>
      <c r="C22" s="21">
        <v>385</v>
      </c>
      <c r="D22" s="21">
        <v>180</v>
      </c>
      <c r="E22" s="21">
        <v>110</v>
      </c>
      <c r="F22" s="22">
        <f>C22/15</f>
        <v>25.666666666666668</v>
      </c>
      <c r="G22" s="22">
        <f>D22/5</f>
        <v>36</v>
      </c>
      <c r="H22" s="23">
        <f>E22/5</f>
        <v>22</v>
      </c>
      <c r="I22" s="24">
        <f>F22+G22+H22</f>
        <v>83.666666666666671</v>
      </c>
      <c r="J22" s="14">
        <f t="shared" si="0"/>
        <v>675</v>
      </c>
      <c r="L22" t="s">
        <v>71</v>
      </c>
      <c r="T22" s="18">
        <f>_xlfn.RANK.EQ(AC22, $AC$4:$AC$100)</f>
        <v>17</v>
      </c>
      <c r="U22" s="9" t="s">
        <v>72</v>
      </c>
      <c r="V22" s="9" t="s">
        <v>17</v>
      </c>
      <c r="W22" s="10">
        <v>300</v>
      </c>
      <c r="X22" s="10">
        <v>120</v>
      </c>
      <c r="Y22" s="10">
        <v>130</v>
      </c>
      <c r="Z22" s="11">
        <f>W22/15</f>
        <v>20</v>
      </c>
      <c r="AA22" s="11">
        <f>X22/5</f>
        <v>24</v>
      </c>
      <c r="AB22" s="12">
        <f>Y22/5</f>
        <v>26</v>
      </c>
      <c r="AC22" s="13">
        <f>Z22+AA22+AB22</f>
        <v>70</v>
      </c>
      <c r="AD22" s="14">
        <f>W22+X22+Y22</f>
        <v>550</v>
      </c>
    </row>
    <row r="23" spans="1:30">
      <c r="A23" s="19">
        <f>_xlfn.RANK.EQ(I23, $I$4:$I$100)</f>
        <v>20</v>
      </c>
      <c r="B23" s="20" t="s">
        <v>73</v>
      </c>
      <c r="C23" s="21">
        <v>380</v>
      </c>
      <c r="D23" s="21">
        <v>160</v>
      </c>
      <c r="E23" s="21">
        <v>130</v>
      </c>
      <c r="F23" s="11">
        <f>C23/15</f>
        <v>25.333333333333332</v>
      </c>
      <c r="G23" s="11">
        <f>D23/5</f>
        <v>32</v>
      </c>
      <c r="H23" s="12">
        <f>E23/5</f>
        <v>26</v>
      </c>
      <c r="I23" s="24">
        <f>F23+G23+H23</f>
        <v>83.333333333333329</v>
      </c>
      <c r="J23" s="14">
        <f t="shared" si="0"/>
        <v>670</v>
      </c>
      <c r="L23" s="60" t="s">
        <v>74</v>
      </c>
      <c r="T23" s="18">
        <f>_xlfn.RANK.EQ(AC23, $AC$4:$AC$100)</f>
        <v>17</v>
      </c>
      <c r="U23" s="9" t="s">
        <v>75</v>
      </c>
      <c r="V23" s="9" t="s">
        <v>20</v>
      </c>
      <c r="W23" s="10">
        <v>300</v>
      </c>
      <c r="X23" s="10">
        <v>120</v>
      </c>
      <c r="Y23" s="10">
        <v>130</v>
      </c>
      <c r="Z23" s="11">
        <f>W23/15</f>
        <v>20</v>
      </c>
      <c r="AA23" s="11">
        <f>X23/5</f>
        <v>24</v>
      </c>
      <c r="AB23" s="12">
        <f>Y23/5</f>
        <v>26</v>
      </c>
      <c r="AC23" s="13">
        <f>Z23+AA23+AB23</f>
        <v>70</v>
      </c>
      <c r="AD23" s="14">
        <f>W23+X23+Y23</f>
        <v>550</v>
      </c>
    </row>
    <row r="24" spans="1:30">
      <c r="A24" s="19">
        <f>_xlfn.RANK.EQ(I24, $I$4:$I$100)</f>
        <v>20</v>
      </c>
      <c r="B24" s="20" t="s">
        <v>76</v>
      </c>
      <c r="C24" s="10">
        <v>410</v>
      </c>
      <c r="D24" s="10">
        <v>150</v>
      </c>
      <c r="E24" s="10">
        <v>130</v>
      </c>
      <c r="F24" s="22">
        <f>C24/15</f>
        <v>27.333333333333332</v>
      </c>
      <c r="G24" s="22">
        <f>D24/5</f>
        <v>30</v>
      </c>
      <c r="H24" s="23">
        <f>E24/5</f>
        <v>26</v>
      </c>
      <c r="I24" s="24">
        <f>F24+G24+H24</f>
        <v>83.333333333333329</v>
      </c>
      <c r="J24" s="14">
        <f t="shared" si="0"/>
        <v>690</v>
      </c>
      <c r="T24" s="18">
        <f>_xlfn.RANK.EQ(AC24, $AC$4:$AC$100)</f>
        <v>17</v>
      </c>
      <c r="U24" s="9" t="s">
        <v>77</v>
      </c>
      <c r="V24" s="9" t="s">
        <v>27</v>
      </c>
      <c r="W24" s="10">
        <v>300</v>
      </c>
      <c r="X24" s="10">
        <v>130</v>
      </c>
      <c r="Y24" s="10">
        <v>120</v>
      </c>
      <c r="Z24" s="11">
        <f>W24/15</f>
        <v>20</v>
      </c>
      <c r="AA24" s="11">
        <f>X24/5</f>
        <v>26</v>
      </c>
      <c r="AB24" s="12">
        <f>Y24/5</f>
        <v>24</v>
      </c>
      <c r="AC24" s="13">
        <f>Z24+AA24+AB24</f>
        <v>70</v>
      </c>
      <c r="AD24" s="14">
        <f>W24+X24+Y24</f>
        <v>550</v>
      </c>
    </row>
    <row r="25" spans="1:30">
      <c r="A25" s="19">
        <f>_xlfn.RANK.EQ(I25, $I$4:$I$100)</f>
        <v>20</v>
      </c>
      <c r="B25" s="20" t="s">
        <v>78</v>
      </c>
      <c r="C25" s="21">
        <v>410</v>
      </c>
      <c r="D25" s="21">
        <v>160</v>
      </c>
      <c r="E25" s="21">
        <v>120</v>
      </c>
      <c r="F25" s="22">
        <f>C25/15</f>
        <v>27.333333333333332</v>
      </c>
      <c r="G25" s="22">
        <f>D25/5</f>
        <v>32</v>
      </c>
      <c r="H25" s="23">
        <f>E25/5</f>
        <v>24</v>
      </c>
      <c r="I25" s="24">
        <f>F25+G25+H25</f>
        <v>83.333333333333329</v>
      </c>
      <c r="J25" s="14">
        <f t="shared" si="0"/>
        <v>690</v>
      </c>
      <c r="M25" s="61" t="s">
        <v>79</v>
      </c>
      <c r="N25" s="62" t="s">
        <v>80</v>
      </c>
      <c r="O25" s="63" t="s">
        <v>81</v>
      </c>
      <c r="P25" s="62" t="s">
        <v>82</v>
      </c>
      <c r="Q25" s="58" t="s">
        <v>83</v>
      </c>
      <c r="R25" s="64"/>
      <c r="S25" s="64"/>
      <c r="T25" s="18">
        <f>_xlfn.RANK.EQ(AC25, $AC$4:$AC$100)</f>
        <v>17</v>
      </c>
      <c r="U25" s="9" t="s">
        <v>84</v>
      </c>
      <c r="V25" s="9" t="s">
        <v>17</v>
      </c>
      <c r="W25" s="10">
        <v>300</v>
      </c>
      <c r="X25" s="10">
        <v>100</v>
      </c>
      <c r="Y25" s="10">
        <v>150</v>
      </c>
      <c r="Z25" s="11">
        <f>W25/15</f>
        <v>20</v>
      </c>
      <c r="AA25" s="11">
        <f>X25/5</f>
        <v>20</v>
      </c>
      <c r="AB25" s="12">
        <f>Y25/5</f>
        <v>30</v>
      </c>
      <c r="AC25" s="13">
        <f>Z25+AA25+AB25</f>
        <v>70</v>
      </c>
      <c r="AD25" s="14">
        <f>W25+X25+Y25</f>
        <v>550</v>
      </c>
    </row>
    <row r="26" spans="1:30">
      <c r="A26" s="19">
        <f>_xlfn.RANK.EQ(I26, $I$4:$I$100)</f>
        <v>23</v>
      </c>
      <c r="B26" s="20" t="s">
        <v>85</v>
      </c>
      <c r="C26" s="21">
        <v>420</v>
      </c>
      <c r="D26" s="21">
        <v>135</v>
      </c>
      <c r="E26" s="21">
        <v>140</v>
      </c>
      <c r="F26" s="22">
        <f>C26/15</f>
        <v>28</v>
      </c>
      <c r="G26" s="22">
        <f>D26/5</f>
        <v>27</v>
      </c>
      <c r="H26" s="23">
        <f>E26/5</f>
        <v>28</v>
      </c>
      <c r="I26" s="24">
        <f>F26+G26+H26</f>
        <v>83</v>
      </c>
      <c r="J26" s="14">
        <f t="shared" si="0"/>
        <v>695</v>
      </c>
      <c r="L26">
        <v>10</v>
      </c>
      <c r="M26" s="65">
        <v>200</v>
      </c>
      <c r="N26" s="66">
        <v>100</v>
      </c>
      <c r="O26" s="67" t="s">
        <v>27</v>
      </c>
      <c r="P26" s="66" t="s">
        <v>17</v>
      </c>
      <c r="Q26" s="68" cm="1">
        <f t="array" ref="Q26">(50 + ((M26 - N26) / 10)) + _xlfn.IFS(
  O26=P26, 0,
  O26="불명", 10,
  P26="불명", -10,
  AND(O26="데이터", P26="백신"), 10,
  AND(O26="데이터", P26="바이러스"), -10,
  AND(O26="바이러스", P26="프리"), 10,
  AND(O26="바이러스", P26="백신"), -10,
  AND(O26="백신", P26="바이러스"), 10,
  AND(O26="백신", P26="데이터"), -10,
  TRUE, 0
)</f>
        <v>70</v>
      </c>
      <c r="T26" s="18">
        <f>_xlfn.RANK.EQ(AC26, $AC$4:$AC$100)</f>
        <v>17</v>
      </c>
      <c r="U26" s="9" t="s">
        <v>86</v>
      </c>
      <c r="V26" s="9" t="s">
        <v>20</v>
      </c>
      <c r="W26" s="10">
        <v>300</v>
      </c>
      <c r="X26" s="10">
        <v>130</v>
      </c>
      <c r="Y26" s="10">
        <v>120</v>
      </c>
      <c r="Z26" s="11">
        <f>W26/15</f>
        <v>20</v>
      </c>
      <c r="AA26" s="11">
        <f>X26/5</f>
        <v>26</v>
      </c>
      <c r="AB26" s="12">
        <f>Y26/5</f>
        <v>24</v>
      </c>
      <c r="AC26" s="13">
        <f>Z26+AA26+AB26</f>
        <v>70</v>
      </c>
      <c r="AD26" s="14">
        <f>W26+X26+Y26</f>
        <v>550</v>
      </c>
    </row>
    <row r="27" spans="1:30">
      <c r="A27" s="19">
        <f>_xlfn.RANK.EQ(I27, $I$4:$I$100)</f>
        <v>24</v>
      </c>
      <c r="B27" s="20" t="s">
        <v>87</v>
      </c>
      <c r="C27" s="21">
        <v>385</v>
      </c>
      <c r="D27" s="21">
        <v>165</v>
      </c>
      <c r="E27" s="21">
        <v>120</v>
      </c>
      <c r="F27" s="22">
        <f>C27/15</f>
        <v>25.666666666666668</v>
      </c>
      <c r="G27" s="22">
        <f>D27/5</f>
        <v>33</v>
      </c>
      <c r="H27" s="23">
        <f>E27/5</f>
        <v>24</v>
      </c>
      <c r="I27" s="24">
        <f>F27+G27+H27</f>
        <v>82.666666666666671</v>
      </c>
      <c r="J27" s="14">
        <f t="shared" si="0"/>
        <v>670</v>
      </c>
      <c r="T27" s="18">
        <f>_xlfn.RANK.EQ(AC27, $AC$4:$AC$100)</f>
        <v>24</v>
      </c>
      <c r="U27" s="9" t="s">
        <v>88</v>
      </c>
      <c r="V27" s="9" t="s">
        <v>17</v>
      </c>
      <c r="W27" s="10">
        <v>265</v>
      </c>
      <c r="X27" s="10">
        <v>100</v>
      </c>
      <c r="Y27" s="10">
        <v>160</v>
      </c>
      <c r="Z27" s="11">
        <f>W27/15</f>
        <v>17.666666666666668</v>
      </c>
      <c r="AA27" s="11">
        <f>X27/5</f>
        <v>20</v>
      </c>
      <c r="AB27" s="12">
        <f>Y27/5</f>
        <v>32</v>
      </c>
      <c r="AC27" s="13">
        <f>Z27+AA27+AB27</f>
        <v>69.666666666666671</v>
      </c>
      <c r="AD27" s="14">
        <f>W27+X27+Y27</f>
        <v>525</v>
      </c>
    </row>
    <row r="28" spans="1:30">
      <c r="A28" s="19">
        <f>_xlfn.RANK.EQ(I28, $I$4:$I$100)</f>
        <v>24</v>
      </c>
      <c r="B28" s="20" t="s">
        <v>89</v>
      </c>
      <c r="C28" s="21">
        <v>385</v>
      </c>
      <c r="D28" s="21">
        <v>175</v>
      </c>
      <c r="E28" s="21">
        <v>110</v>
      </c>
      <c r="F28" s="22">
        <f>C28/15</f>
        <v>25.666666666666668</v>
      </c>
      <c r="G28" s="22">
        <f>D28/5</f>
        <v>35</v>
      </c>
      <c r="H28" s="23">
        <f>E28/5</f>
        <v>22</v>
      </c>
      <c r="I28" s="24">
        <f>F28+G28+H28</f>
        <v>82.666666666666671</v>
      </c>
      <c r="J28" s="14">
        <f>C28+D28+E28</f>
        <v>670</v>
      </c>
      <c r="L28" t="s">
        <v>90</v>
      </c>
      <c r="R28" s="64"/>
      <c r="T28" s="18">
        <f>_xlfn.RANK.EQ(AC28, $AC$4:$AC$100)</f>
        <v>24</v>
      </c>
      <c r="U28" s="9" t="s">
        <v>91</v>
      </c>
      <c r="V28" s="9" t="s">
        <v>20</v>
      </c>
      <c r="W28" s="10">
        <v>295</v>
      </c>
      <c r="X28" s="10">
        <v>140</v>
      </c>
      <c r="Y28" s="10">
        <v>110</v>
      </c>
      <c r="Z28" s="11">
        <f>W28/15</f>
        <v>19.666666666666668</v>
      </c>
      <c r="AA28" s="11">
        <f>X28/5</f>
        <v>28</v>
      </c>
      <c r="AB28" s="12">
        <f>Y28/5</f>
        <v>22</v>
      </c>
      <c r="AC28" s="13">
        <f>Z28+AA28+AB28</f>
        <v>69.666666666666671</v>
      </c>
      <c r="AD28" s="14">
        <f>W28+X28+Y28</f>
        <v>545</v>
      </c>
    </row>
    <row r="29" spans="1:30">
      <c r="A29" s="19">
        <f>_xlfn.RANK.EQ(I29, $I$4:$I$100)</f>
        <v>24</v>
      </c>
      <c r="B29" s="20" t="s">
        <v>92</v>
      </c>
      <c r="C29" s="21">
        <v>400</v>
      </c>
      <c r="D29" s="21">
        <v>160</v>
      </c>
      <c r="E29" s="21">
        <v>120</v>
      </c>
      <c r="F29" s="22">
        <f>C29/15</f>
        <v>26.666666666666668</v>
      </c>
      <c r="G29" s="22">
        <f>D29/5</f>
        <v>32</v>
      </c>
      <c r="H29" s="23">
        <f>E29/5</f>
        <v>24</v>
      </c>
      <c r="I29" s="24">
        <f>F29+G29+H29</f>
        <v>82.666666666666671</v>
      </c>
      <c r="J29" s="14">
        <f>C29+D29+E29</f>
        <v>680</v>
      </c>
      <c r="L29" s="60" t="s">
        <v>93</v>
      </c>
      <c r="T29" s="18">
        <f>_xlfn.RANK.EQ(AC29, $AC$4:$AC$100)</f>
        <v>26</v>
      </c>
      <c r="U29" s="9" t="s">
        <v>94</v>
      </c>
      <c r="V29" s="9" t="s">
        <v>17</v>
      </c>
      <c r="W29" s="10">
        <v>245</v>
      </c>
      <c r="X29" s="10">
        <v>125</v>
      </c>
      <c r="Y29" s="10">
        <v>140</v>
      </c>
      <c r="Z29" s="11">
        <f>W29/15</f>
        <v>16.333333333333332</v>
      </c>
      <c r="AA29" s="11">
        <f>X29/5</f>
        <v>25</v>
      </c>
      <c r="AB29" s="12">
        <f>Y29/5</f>
        <v>28</v>
      </c>
      <c r="AC29" s="13">
        <f>Z29+AA29+AB29</f>
        <v>69.333333333333329</v>
      </c>
      <c r="AD29" s="14">
        <f>W29+X29+Y29</f>
        <v>510</v>
      </c>
    </row>
    <row r="30" spans="1:30">
      <c r="A30" s="19">
        <f>_xlfn.RANK.EQ(I30, $I$4:$I$100)</f>
        <v>24</v>
      </c>
      <c r="B30" s="20" t="s">
        <v>95</v>
      </c>
      <c r="C30" s="21">
        <v>370</v>
      </c>
      <c r="D30" s="21">
        <v>150</v>
      </c>
      <c r="E30" s="21">
        <v>140</v>
      </c>
      <c r="F30" s="22">
        <f>C30/15</f>
        <v>24.666666666666668</v>
      </c>
      <c r="G30" s="22">
        <f>D30/5</f>
        <v>30</v>
      </c>
      <c r="H30" s="23">
        <f>E30/5</f>
        <v>28</v>
      </c>
      <c r="I30" s="24">
        <f>F30+G30+H30</f>
        <v>82.666666666666671</v>
      </c>
      <c r="J30" s="14">
        <f t="shared" ref="J30:J93" si="1">C30+D30+E30</f>
        <v>660</v>
      </c>
      <c r="L30" s="69" t="s">
        <v>96</v>
      </c>
      <c r="M30" s="62" t="s">
        <v>97</v>
      </c>
      <c r="N30" s="70" t="s">
        <v>98</v>
      </c>
      <c r="O30" s="71" t="s">
        <v>99</v>
      </c>
      <c r="P30" s="32" t="s">
        <v>100</v>
      </c>
      <c r="Q30" s="72" t="s">
        <v>83</v>
      </c>
      <c r="R30" s="73" t="s">
        <v>101</v>
      </c>
      <c r="T30" s="18">
        <f>_xlfn.RANK.EQ(AC30, $AC$4:$AC$100)</f>
        <v>26</v>
      </c>
      <c r="U30" s="9" t="s">
        <v>102</v>
      </c>
      <c r="V30" s="9" t="s">
        <v>27</v>
      </c>
      <c r="W30" s="10">
        <v>290</v>
      </c>
      <c r="X30" s="10">
        <v>140</v>
      </c>
      <c r="Y30" s="10">
        <v>110</v>
      </c>
      <c r="Z30" s="11">
        <f>W30/15</f>
        <v>19.333333333333332</v>
      </c>
      <c r="AA30" s="11">
        <f>X30/5</f>
        <v>28</v>
      </c>
      <c r="AB30" s="12">
        <f>Y30/5</f>
        <v>22</v>
      </c>
      <c r="AC30" s="13">
        <f>Z30+AA30+AB30</f>
        <v>69.333333333333329</v>
      </c>
      <c r="AD30" s="14">
        <f>W30+X30+Y30</f>
        <v>540</v>
      </c>
    </row>
    <row r="31" spans="1:30">
      <c r="A31" s="19">
        <f>_xlfn.RANK.EQ(I31, $I$4:$I$100)</f>
        <v>28</v>
      </c>
      <c r="B31" s="20"/>
      <c r="C31" s="21"/>
      <c r="D31" s="21"/>
      <c r="E31" s="21"/>
      <c r="F31" s="22">
        <f>C31/15</f>
        <v>0</v>
      </c>
      <c r="G31" s="22">
        <f>D31/5</f>
        <v>0</v>
      </c>
      <c r="H31" s="23">
        <f>E31/5</f>
        <v>0</v>
      </c>
      <c r="I31" s="24">
        <f>F31+G31+H31</f>
        <v>0</v>
      </c>
      <c r="J31" s="14">
        <f t="shared" si="1"/>
        <v>0</v>
      </c>
      <c r="L31" s="74">
        <v>190</v>
      </c>
      <c r="M31" s="66">
        <v>100</v>
      </c>
      <c r="N31" s="75" t="s">
        <v>103</v>
      </c>
      <c r="O31" s="76" t="s">
        <v>27</v>
      </c>
      <c r="P31" s="28">
        <f>(50+(L31-M31)/10)</f>
        <v>59</v>
      </c>
      <c r="Q31" s="77" cm="1">
        <f t="array" ref="Q31">_xlfn.IFS(N31=O31, P31,
N31="불명", P31*1.1,
P31="불명", P31*0.9,
AND(N31="데이터",O31= "백신"),P31*1.1,
AND(N31="데이터",O31= "바이러스"),P31*0.9,
AND(N31="바이러스",O31= "프리"), P31*1.1,
AND(N31="바이러스",O31= "백신"), P31*0.9,
AND(N31="백신",O31= "바이러스"), P31*1.1,
AND(N31="백신",O31= "데이터"), P31*0.9,
TRUE, 0
)</f>
        <v>64.900000000000006</v>
      </c>
      <c r="R31" s="78">
        <f>100-Q31</f>
        <v>35.099999999999994</v>
      </c>
      <c r="T31" s="18">
        <f>_xlfn.RANK.EQ(AC31, $AC$4:$AC$100)</f>
        <v>28</v>
      </c>
      <c r="U31" s="9" t="s">
        <v>104</v>
      </c>
      <c r="V31" s="9" t="s">
        <v>20</v>
      </c>
      <c r="W31" s="10">
        <v>300</v>
      </c>
      <c r="X31" s="10">
        <v>115</v>
      </c>
      <c r="Y31" s="10">
        <v>130</v>
      </c>
      <c r="Z31" s="11">
        <f>W31/15</f>
        <v>20</v>
      </c>
      <c r="AA31" s="11">
        <f>X31/5</f>
        <v>23</v>
      </c>
      <c r="AB31" s="12">
        <f>Y31/5</f>
        <v>26</v>
      </c>
      <c r="AC31" s="13">
        <f>Z31+AA31+AB31</f>
        <v>69</v>
      </c>
      <c r="AD31" s="14">
        <f>W31+X31+Y31</f>
        <v>545</v>
      </c>
    </row>
    <row r="32" spans="1:30">
      <c r="A32" s="19">
        <f>_xlfn.RANK.EQ(I32, $I$4:$I$100)</f>
        <v>28</v>
      </c>
      <c r="B32" s="20"/>
      <c r="C32" s="21"/>
      <c r="D32" s="21"/>
      <c r="E32" s="21"/>
      <c r="F32" s="22">
        <f>C32/15</f>
        <v>0</v>
      </c>
      <c r="G32" s="22">
        <f>D32/5</f>
        <v>0</v>
      </c>
      <c r="H32" s="23">
        <f>E32/5</f>
        <v>0</v>
      </c>
      <c r="I32" s="24">
        <f>F32+G32+H32</f>
        <v>0</v>
      </c>
      <c r="J32" s="14">
        <f t="shared" si="1"/>
        <v>0</v>
      </c>
      <c r="T32" s="18">
        <f>_xlfn.RANK.EQ(AC32, $AC$4:$AC$100)</f>
        <v>28</v>
      </c>
      <c r="U32" s="9" t="s">
        <v>105</v>
      </c>
      <c r="V32" s="9" t="s">
        <v>20</v>
      </c>
      <c r="W32" s="10">
        <v>285</v>
      </c>
      <c r="X32" s="10">
        <v>120</v>
      </c>
      <c r="Y32" s="10">
        <v>130</v>
      </c>
      <c r="Z32" s="11">
        <f>W32/15</f>
        <v>19</v>
      </c>
      <c r="AA32" s="11">
        <f>X32/5</f>
        <v>24</v>
      </c>
      <c r="AB32" s="12">
        <f>Y32/5</f>
        <v>26</v>
      </c>
      <c r="AC32" s="13">
        <f>Z32+AA32+AB32</f>
        <v>69</v>
      </c>
      <c r="AD32" s="14">
        <f>W32+X32+Y32</f>
        <v>535</v>
      </c>
    </row>
    <row r="33" spans="1:30">
      <c r="A33" s="19">
        <f>_xlfn.RANK.EQ(I33, $I$4:$I$100)</f>
        <v>28</v>
      </c>
      <c r="B33" s="20"/>
      <c r="C33" s="21"/>
      <c r="D33" s="21"/>
      <c r="E33" s="21"/>
      <c r="F33" s="22">
        <f>C33/15</f>
        <v>0</v>
      </c>
      <c r="G33" s="22">
        <f>D33/5</f>
        <v>0</v>
      </c>
      <c r="H33" s="23">
        <f>E33/5</f>
        <v>0</v>
      </c>
      <c r="I33" s="24">
        <f>F33+G33+H33</f>
        <v>0</v>
      </c>
      <c r="J33" s="14">
        <f t="shared" si="1"/>
        <v>0</v>
      </c>
      <c r="T33" s="18">
        <f>_xlfn.RANK.EQ(AC33, $AC$4:$AC$100)</f>
        <v>28</v>
      </c>
      <c r="U33" s="9" t="s">
        <v>106</v>
      </c>
      <c r="V33" s="9" t="s">
        <v>20</v>
      </c>
      <c r="W33" s="10">
        <v>300</v>
      </c>
      <c r="X33" s="10">
        <v>115</v>
      </c>
      <c r="Y33" s="10">
        <v>130</v>
      </c>
      <c r="Z33" s="11">
        <f>W33/15</f>
        <v>20</v>
      </c>
      <c r="AA33" s="11">
        <f>X33/5</f>
        <v>23</v>
      </c>
      <c r="AB33" s="12">
        <f>Y33/5</f>
        <v>26</v>
      </c>
      <c r="AC33" s="13">
        <f>Z33+AA33+AB33</f>
        <v>69</v>
      </c>
      <c r="AD33" s="14">
        <f>W33+X33+Y33</f>
        <v>545</v>
      </c>
    </row>
    <row r="34" spans="1:30">
      <c r="A34" s="19">
        <f>_xlfn.RANK.EQ(I34, $I$4:$I$100)</f>
        <v>28</v>
      </c>
      <c r="B34" s="20"/>
      <c r="C34" s="21"/>
      <c r="D34" s="21"/>
      <c r="E34" s="21"/>
      <c r="F34" s="22">
        <f>C34/15</f>
        <v>0</v>
      </c>
      <c r="G34" s="22">
        <f>D34/5</f>
        <v>0</v>
      </c>
      <c r="H34" s="23">
        <f>E34/5</f>
        <v>0</v>
      </c>
      <c r="I34" s="24">
        <f>F34+G34+H34</f>
        <v>0</v>
      </c>
      <c r="J34" s="14">
        <f t="shared" si="1"/>
        <v>0</v>
      </c>
      <c r="T34" s="18">
        <f>_xlfn.RANK.EQ(AC34, $AC$4:$AC$100)</f>
        <v>28</v>
      </c>
      <c r="U34" s="9" t="s">
        <v>107</v>
      </c>
      <c r="V34" s="9" t="s">
        <v>17</v>
      </c>
      <c r="W34" s="10">
        <v>300</v>
      </c>
      <c r="X34" s="10">
        <v>135</v>
      </c>
      <c r="Y34" s="10">
        <v>110</v>
      </c>
      <c r="Z34" s="11">
        <f>W34/15</f>
        <v>20</v>
      </c>
      <c r="AA34" s="11">
        <f>X34/5</f>
        <v>27</v>
      </c>
      <c r="AB34" s="12">
        <f>Y34/5</f>
        <v>22</v>
      </c>
      <c r="AC34" s="13">
        <f>Z34+AA34+AB34</f>
        <v>69</v>
      </c>
      <c r="AD34" s="14">
        <f>W34+X34+Y34</f>
        <v>545</v>
      </c>
    </row>
    <row r="35" spans="1:30">
      <c r="A35" s="19">
        <f>_xlfn.RANK.EQ(I35, $I$4:$I$100)</f>
        <v>28</v>
      </c>
      <c r="B35" s="20"/>
      <c r="C35" s="21"/>
      <c r="D35" s="21"/>
      <c r="E35" s="21"/>
      <c r="F35" s="22">
        <f>C35/15</f>
        <v>0</v>
      </c>
      <c r="G35" s="22">
        <f>D35/5</f>
        <v>0</v>
      </c>
      <c r="H35" s="23">
        <f>E35/5</f>
        <v>0</v>
      </c>
      <c r="I35" s="24">
        <f>F35+G35+H35</f>
        <v>0</v>
      </c>
      <c r="J35" s="14">
        <f t="shared" si="1"/>
        <v>0</v>
      </c>
      <c r="T35" s="18">
        <f>_xlfn.RANK.EQ(AC35, $AC$4:$AC$100)</f>
        <v>28</v>
      </c>
      <c r="U35" s="9" t="s">
        <v>108</v>
      </c>
      <c r="V35" s="9" t="s">
        <v>109</v>
      </c>
      <c r="W35" s="10">
        <v>300</v>
      </c>
      <c r="X35" s="10">
        <v>135</v>
      </c>
      <c r="Y35" s="10">
        <v>110</v>
      </c>
      <c r="Z35" s="11">
        <f>W35/15</f>
        <v>20</v>
      </c>
      <c r="AA35" s="11">
        <f>X35/5</f>
        <v>27</v>
      </c>
      <c r="AB35" s="12">
        <f>Y35/5</f>
        <v>22</v>
      </c>
      <c r="AC35" s="13">
        <f>Z35+AA35+AB35</f>
        <v>69</v>
      </c>
      <c r="AD35" s="14">
        <f>W35+X35+Y35</f>
        <v>545</v>
      </c>
    </row>
    <row r="36" spans="1:30">
      <c r="A36" s="19">
        <f>_xlfn.RANK.EQ(I36, $I$4:$I$100)</f>
        <v>28</v>
      </c>
      <c r="B36" s="20"/>
      <c r="C36" s="21"/>
      <c r="D36" s="21"/>
      <c r="E36" s="21"/>
      <c r="F36" s="22">
        <f>C36/15</f>
        <v>0</v>
      </c>
      <c r="G36" s="22">
        <f>D36/5</f>
        <v>0</v>
      </c>
      <c r="H36" s="23">
        <f>E36/5</f>
        <v>0</v>
      </c>
      <c r="I36" s="24">
        <f>F36+G36+H36</f>
        <v>0</v>
      </c>
      <c r="J36" s="14">
        <f t="shared" si="1"/>
        <v>0</v>
      </c>
      <c r="T36" s="18">
        <f>_xlfn.RANK.EQ(AC36, $AC$4:$AC$100)</f>
        <v>28</v>
      </c>
      <c r="U36" s="9" t="s">
        <v>107</v>
      </c>
      <c r="V36" s="9" t="s">
        <v>17</v>
      </c>
      <c r="W36" s="10">
        <v>300</v>
      </c>
      <c r="X36" s="10">
        <v>135</v>
      </c>
      <c r="Y36" s="10">
        <v>110</v>
      </c>
      <c r="Z36" s="11">
        <f>W36/15</f>
        <v>20</v>
      </c>
      <c r="AA36" s="11">
        <f>X36/5</f>
        <v>27</v>
      </c>
      <c r="AB36" s="12">
        <f>Y36/5</f>
        <v>22</v>
      </c>
      <c r="AC36" s="13">
        <f>Z36+AA36+AB36</f>
        <v>69</v>
      </c>
      <c r="AD36" s="14">
        <f>W36+X36+Y36</f>
        <v>545</v>
      </c>
    </row>
    <row r="37" spans="1:30">
      <c r="A37" s="19">
        <f>_xlfn.RANK.EQ(I37, $I$4:$I$100)</f>
        <v>28</v>
      </c>
      <c r="B37" s="20"/>
      <c r="C37" s="21"/>
      <c r="D37" s="21"/>
      <c r="E37" s="21"/>
      <c r="F37" s="22">
        <f>C37/15</f>
        <v>0</v>
      </c>
      <c r="G37" s="22">
        <f>D37/5</f>
        <v>0</v>
      </c>
      <c r="H37" s="23">
        <f>E37/5</f>
        <v>0</v>
      </c>
      <c r="I37" s="24">
        <f>F37+G37+H37</f>
        <v>0</v>
      </c>
      <c r="J37" s="14">
        <f t="shared" si="1"/>
        <v>0</v>
      </c>
      <c r="T37" s="18">
        <f>_xlfn.RANK.EQ(AC37, $AC$4:$AC$100)</f>
        <v>28</v>
      </c>
      <c r="U37" s="9" t="s">
        <v>110</v>
      </c>
      <c r="V37" s="9" t="s">
        <v>27</v>
      </c>
      <c r="W37" s="10">
        <v>270</v>
      </c>
      <c r="X37" s="10">
        <v>115</v>
      </c>
      <c r="Y37" s="10">
        <v>140</v>
      </c>
      <c r="Z37" s="11">
        <f>W37/15</f>
        <v>18</v>
      </c>
      <c r="AA37" s="11">
        <f>X37/5</f>
        <v>23</v>
      </c>
      <c r="AB37" s="12">
        <f>Y37/5</f>
        <v>28</v>
      </c>
      <c r="AC37" s="13">
        <f>Z37+AA37+AB37</f>
        <v>69</v>
      </c>
      <c r="AD37" s="14">
        <f>W37+X37+Y37</f>
        <v>525</v>
      </c>
    </row>
    <row r="38" spans="1:30">
      <c r="A38" s="19">
        <f>_xlfn.RANK.EQ(I38, $I$4:$I$100)</f>
        <v>28</v>
      </c>
      <c r="B38" s="20"/>
      <c r="C38" s="21"/>
      <c r="D38" s="21"/>
      <c r="E38" s="21"/>
      <c r="F38" s="22">
        <f>C38/15</f>
        <v>0</v>
      </c>
      <c r="G38" s="22">
        <f>D38/5</f>
        <v>0</v>
      </c>
      <c r="H38" s="23">
        <f>E38/5</f>
        <v>0</v>
      </c>
      <c r="I38" s="24">
        <f>F38+G38+H38</f>
        <v>0</v>
      </c>
      <c r="J38" s="14">
        <f t="shared" si="1"/>
        <v>0</v>
      </c>
      <c r="T38" s="18">
        <f>_xlfn.RANK.EQ(AC38, $AC$4:$AC$100)</f>
        <v>35</v>
      </c>
      <c r="U38" s="9" t="s">
        <v>111</v>
      </c>
      <c r="V38" s="9" t="s">
        <v>17</v>
      </c>
      <c r="W38" s="10">
        <v>310</v>
      </c>
      <c r="X38" s="10">
        <v>100</v>
      </c>
      <c r="Y38" s="10">
        <v>140</v>
      </c>
      <c r="Z38" s="11">
        <f>W38/15</f>
        <v>20.666666666666668</v>
      </c>
      <c r="AA38" s="11">
        <f>X38/5</f>
        <v>20</v>
      </c>
      <c r="AB38" s="12">
        <f>Y38/5</f>
        <v>28</v>
      </c>
      <c r="AC38" s="13">
        <f>Z38+AA38+AB38</f>
        <v>68.666666666666671</v>
      </c>
      <c r="AD38" s="14">
        <f>W38+X38+Y38</f>
        <v>550</v>
      </c>
    </row>
    <row r="39" spans="1:30">
      <c r="A39" s="19">
        <f>_xlfn.RANK.EQ(I39, $I$4:$I$100)</f>
        <v>28</v>
      </c>
      <c r="B39" s="20"/>
      <c r="C39" s="21"/>
      <c r="D39" s="21"/>
      <c r="E39" s="21"/>
      <c r="F39" s="22">
        <f>C39/15</f>
        <v>0</v>
      </c>
      <c r="G39" s="22">
        <f>D39/5</f>
        <v>0</v>
      </c>
      <c r="H39" s="23">
        <f>E39/5</f>
        <v>0</v>
      </c>
      <c r="I39" s="24">
        <f>F39+G39+H39</f>
        <v>0</v>
      </c>
      <c r="J39" s="14">
        <f t="shared" si="1"/>
        <v>0</v>
      </c>
      <c r="T39" s="18">
        <f>_xlfn.RANK.EQ(AC39, $AC$4:$AC$100)</f>
        <v>35</v>
      </c>
      <c r="U39" s="9" t="s">
        <v>112</v>
      </c>
      <c r="V39" s="9" t="s">
        <v>27</v>
      </c>
      <c r="W39" s="10">
        <v>310</v>
      </c>
      <c r="X39" s="10">
        <v>120</v>
      </c>
      <c r="Y39" s="10">
        <v>120</v>
      </c>
      <c r="Z39" s="11">
        <f>W39/15</f>
        <v>20.666666666666668</v>
      </c>
      <c r="AA39" s="11">
        <f>X39/5</f>
        <v>24</v>
      </c>
      <c r="AB39" s="12">
        <f>Y39/5</f>
        <v>24</v>
      </c>
      <c r="AC39" s="13">
        <f>Z39+AA39+AB39</f>
        <v>68.666666666666671</v>
      </c>
      <c r="AD39" s="14">
        <f>W39+X39+Y39</f>
        <v>550</v>
      </c>
    </row>
    <row r="40" spans="1:30">
      <c r="A40" s="19">
        <f>_xlfn.RANK.EQ(I40, $I$4:$I$100)</f>
        <v>28</v>
      </c>
      <c r="B40" s="20"/>
      <c r="C40" s="21"/>
      <c r="D40" s="21"/>
      <c r="E40" s="21"/>
      <c r="F40" s="22">
        <f>C40/15</f>
        <v>0</v>
      </c>
      <c r="G40" s="22">
        <f>D40/5</f>
        <v>0</v>
      </c>
      <c r="H40" s="23">
        <f>E40/5</f>
        <v>0</v>
      </c>
      <c r="I40" s="24">
        <f>F40+G40+H40</f>
        <v>0</v>
      </c>
      <c r="J40" s="14">
        <f t="shared" si="1"/>
        <v>0</v>
      </c>
      <c r="T40" s="18">
        <f>_xlfn.RANK.EQ(AC40, $AC$4:$AC$100)</f>
        <v>35</v>
      </c>
      <c r="U40" s="9" t="s">
        <v>113</v>
      </c>
      <c r="V40" s="9" t="s">
        <v>20</v>
      </c>
      <c r="W40" s="10">
        <v>310</v>
      </c>
      <c r="X40" s="10">
        <v>140</v>
      </c>
      <c r="Y40" s="10">
        <v>100</v>
      </c>
      <c r="Z40" s="11">
        <f>W40/15</f>
        <v>20.666666666666668</v>
      </c>
      <c r="AA40" s="11">
        <f>X40/5</f>
        <v>28</v>
      </c>
      <c r="AB40" s="12">
        <f>Y40/5</f>
        <v>20</v>
      </c>
      <c r="AC40" s="13">
        <f>Z40+AA40+AB40</f>
        <v>68.666666666666671</v>
      </c>
      <c r="AD40" s="14">
        <f>W40+X40+Y40</f>
        <v>550</v>
      </c>
    </row>
    <row r="41" spans="1:30">
      <c r="A41" s="19">
        <f>_xlfn.RANK.EQ(I41, $I$4:$I$100)</f>
        <v>28</v>
      </c>
      <c r="B41" s="20"/>
      <c r="C41" s="21"/>
      <c r="D41" s="21"/>
      <c r="E41" s="21"/>
      <c r="F41" s="22">
        <f>C41/15</f>
        <v>0</v>
      </c>
      <c r="G41" s="22">
        <f>D41/5</f>
        <v>0</v>
      </c>
      <c r="H41" s="23">
        <f>E41/5</f>
        <v>0</v>
      </c>
      <c r="I41" s="24">
        <f>F41+G41+H41</f>
        <v>0</v>
      </c>
      <c r="J41" s="14">
        <f t="shared" si="1"/>
        <v>0</v>
      </c>
      <c r="T41" s="18">
        <f>_xlfn.RANK.EQ(AC41, $AC$4:$AC$100)</f>
        <v>38</v>
      </c>
      <c r="U41" s="9" t="s">
        <v>114</v>
      </c>
      <c r="V41" s="9" t="s">
        <v>27</v>
      </c>
      <c r="W41" s="10">
        <v>315</v>
      </c>
      <c r="X41" s="10">
        <v>115</v>
      </c>
      <c r="Y41" s="10">
        <v>120</v>
      </c>
      <c r="Z41" s="11">
        <f>W41/15</f>
        <v>21</v>
      </c>
      <c r="AA41" s="11">
        <f>X41/5</f>
        <v>23</v>
      </c>
      <c r="AB41" s="12">
        <f>Y41/5</f>
        <v>24</v>
      </c>
      <c r="AC41" s="13">
        <f>Z41+AA41+AB41</f>
        <v>68</v>
      </c>
      <c r="AD41" s="14">
        <f>W41+X41+Y41</f>
        <v>550</v>
      </c>
    </row>
    <row r="42" spans="1:30">
      <c r="A42" s="19">
        <f>_xlfn.RANK.EQ(I42, $I$4:$I$100)</f>
        <v>28</v>
      </c>
      <c r="B42" s="20"/>
      <c r="C42" s="21"/>
      <c r="D42" s="21"/>
      <c r="E42" s="21"/>
      <c r="F42" s="11">
        <f>C42/15</f>
        <v>0</v>
      </c>
      <c r="G42" s="11">
        <f>D42/5</f>
        <v>0</v>
      </c>
      <c r="H42" s="12">
        <f>E42/5</f>
        <v>0</v>
      </c>
      <c r="I42" s="24">
        <f>F42+G42+H42</f>
        <v>0</v>
      </c>
      <c r="J42" s="14">
        <f t="shared" si="1"/>
        <v>0</v>
      </c>
      <c r="T42" s="18">
        <f>_xlfn.RANK.EQ(AC42, $AC$4:$AC$100)</f>
        <v>38</v>
      </c>
      <c r="U42" s="9" t="s">
        <v>115</v>
      </c>
      <c r="V42" s="9" t="s">
        <v>27</v>
      </c>
      <c r="W42" s="10">
        <v>300</v>
      </c>
      <c r="X42" s="10">
        <v>120</v>
      </c>
      <c r="Y42" s="10">
        <v>120</v>
      </c>
      <c r="Z42" s="11">
        <f>W42/15</f>
        <v>20</v>
      </c>
      <c r="AA42" s="11">
        <f>X42/5</f>
        <v>24</v>
      </c>
      <c r="AB42" s="12">
        <f>Y42/5</f>
        <v>24</v>
      </c>
      <c r="AC42" s="13">
        <f>Z42+AA42+AB42</f>
        <v>68</v>
      </c>
      <c r="AD42" s="14">
        <f>W42+X42+Y42</f>
        <v>540</v>
      </c>
    </row>
    <row r="43" spans="1:30">
      <c r="A43" s="19">
        <f>_xlfn.RANK.EQ(I43, $I$4:$I$100)</f>
        <v>28</v>
      </c>
      <c r="B43" s="20"/>
      <c r="C43" s="21"/>
      <c r="D43" s="21"/>
      <c r="E43" s="21"/>
      <c r="F43" s="22">
        <f>C43/15</f>
        <v>0</v>
      </c>
      <c r="G43" s="22">
        <f>D43/5</f>
        <v>0</v>
      </c>
      <c r="H43" s="23">
        <f>E43/5</f>
        <v>0</v>
      </c>
      <c r="I43" s="24">
        <f>F43+G43+H43</f>
        <v>0</v>
      </c>
      <c r="J43" s="14">
        <f t="shared" si="1"/>
        <v>0</v>
      </c>
      <c r="T43" s="18">
        <f>_xlfn.RANK.EQ(AC43, $AC$4:$AC$100)</f>
        <v>40</v>
      </c>
      <c r="U43" s="9" t="s">
        <v>116</v>
      </c>
      <c r="V43" s="9" t="s">
        <v>27</v>
      </c>
      <c r="W43" s="10">
        <v>320</v>
      </c>
      <c r="X43" s="10">
        <v>110</v>
      </c>
      <c r="Y43" s="10">
        <v>120</v>
      </c>
      <c r="Z43" s="11">
        <f>W43/15</f>
        <v>21.333333333333332</v>
      </c>
      <c r="AA43" s="11">
        <f>X43/5</f>
        <v>22</v>
      </c>
      <c r="AB43" s="12">
        <f>Y43/5</f>
        <v>24</v>
      </c>
      <c r="AC43" s="13">
        <f>Z43+AA43+AB43</f>
        <v>67.333333333333329</v>
      </c>
      <c r="AD43" s="14">
        <f>W43+X43+Y43</f>
        <v>550</v>
      </c>
    </row>
    <row r="44" spans="1:30">
      <c r="A44" s="19">
        <f>_xlfn.RANK.EQ(I44, $I$4:$I$100)</f>
        <v>28</v>
      </c>
      <c r="B44" s="20"/>
      <c r="C44" s="10"/>
      <c r="D44" s="10"/>
      <c r="E44" s="10"/>
      <c r="F44" s="22">
        <f>C44/15</f>
        <v>0</v>
      </c>
      <c r="G44" s="22">
        <f>D44/5</f>
        <v>0</v>
      </c>
      <c r="H44" s="23">
        <f>E44/5</f>
        <v>0</v>
      </c>
      <c r="I44" s="24">
        <f>F44+G44+H44</f>
        <v>0</v>
      </c>
      <c r="J44" s="14">
        <f t="shared" si="1"/>
        <v>0</v>
      </c>
      <c r="T44" s="18">
        <f>_xlfn.RANK.EQ(AC44, $AC$4:$AC$100)</f>
        <v>40</v>
      </c>
      <c r="U44" s="9" t="s">
        <v>117</v>
      </c>
      <c r="V44" s="9" t="s">
        <v>20</v>
      </c>
      <c r="W44" s="10">
        <v>305</v>
      </c>
      <c r="X44" s="10">
        <v>125</v>
      </c>
      <c r="Y44" s="10">
        <v>110</v>
      </c>
      <c r="Z44" s="11">
        <f>W44/15</f>
        <v>20.333333333333332</v>
      </c>
      <c r="AA44" s="11">
        <f>X44/5</f>
        <v>25</v>
      </c>
      <c r="AB44" s="12">
        <f>Y44/5</f>
        <v>22</v>
      </c>
      <c r="AC44" s="13">
        <f>Z44+AA44+AB44</f>
        <v>67.333333333333329</v>
      </c>
      <c r="AD44" s="14">
        <f>W44+X44+Y44</f>
        <v>540</v>
      </c>
    </row>
    <row r="45" spans="1:30">
      <c r="A45" s="19">
        <f>_xlfn.RANK.EQ(I45, $I$4:$I$100)</f>
        <v>28</v>
      </c>
      <c r="B45" s="20"/>
      <c r="C45" s="21"/>
      <c r="D45" s="21"/>
      <c r="E45" s="21"/>
      <c r="F45" s="22">
        <f>C45/15</f>
        <v>0</v>
      </c>
      <c r="G45" s="22">
        <f>D45/5</f>
        <v>0</v>
      </c>
      <c r="H45" s="23">
        <f>E45/5</f>
        <v>0</v>
      </c>
      <c r="I45" s="24">
        <f>F45+G45+H45</f>
        <v>0</v>
      </c>
      <c r="J45" s="14">
        <f t="shared" si="1"/>
        <v>0</v>
      </c>
      <c r="T45" s="18">
        <f>_xlfn.RANK.EQ(AC45, $AC$4:$AC$100)</f>
        <v>40</v>
      </c>
      <c r="U45" s="9" t="s">
        <v>118</v>
      </c>
      <c r="V45" s="9" t="s">
        <v>17</v>
      </c>
      <c r="W45" s="10">
        <v>305</v>
      </c>
      <c r="X45" s="10">
        <v>125</v>
      </c>
      <c r="Y45" s="10">
        <v>110</v>
      </c>
      <c r="Z45" s="11">
        <f>W45/15</f>
        <v>20.333333333333332</v>
      </c>
      <c r="AA45" s="11">
        <f>X45/5</f>
        <v>25</v>
      </c>
      <c r="AB45" s="12">
        <f>Y45/5</f>
        <v>22</v>
      </c>
      <c r="AC45" s="13">
        <f>Z45+AA45+AB45</f>
        <v>67.333333333333329</v>
      </c>
      <c r="AD45" s="14">
        <f>W45+X45+Y45</f>
        <v>540</v>
      </c>
    </row>
    <row r="46" spans="1:30">
      <c r="A46" s="19">
        <f>_xlfn.RANK.EQ(I46, $I$4:$I$100)</f>
        <v>28</v>
      </c>
      <c r="B46" s="20"/>
      <c r="C46" s="21"/>
      <c r="D46" s="21"/>
      <c r="E46" s="21"/>
      <c r="F46" s="22">
        <f>C46/15</f>
        <v>0</v>
      </c>
      <c r="G46" s="22">
        <f>D46/5</f>
        <v>0</v>
      </c>
      <c r="H46" s="23">
        <f>E46/5</f>
        <v>0</v>
      </c>
      <c r="I46" s="24">
        <f>F46+G46+H46</f>
        <v>0</v>
      </c>
      <c r="J46" s="14">
        <f t="shared" si="1"/>
        <v>0</v>
      </c>
      <c r="T46" s="18">
        <f>_xlfn.RANK.EQ(AC46, $AC$4:$AC$100)</f>
        <v>43</v>
      </c>
      <c r="U46" s="9" t="s">
        <v>119</v>
      </c>
      <c r="V46" s="9" t="s">
        <v>17</v>
      </c>
      <c r="W46" s="10">
        <v>315</v>
      </c>
      <c r="X46" s="10">
        <v>110</v>
      </c>
      <c r="Y46" s="10">
        <v>120</v>
      </c>
      <c r="Z46" s="11">
        <f>W46/15</f>
        <v>21</v>
      </c>
      <c r="AA46" s="11">
        <f>X46/5</f>
        <v>22</v>
      </c>
      <c r="AB46" s="12">
        <f>Y46/5</f>
        <v>24</v>
      </c>
      <c r="AC46" s="13">
        <f>Z46+AA46+AB46</f>
        <v>67</v>
      </c>
      <c r="AD46" s="14">
        <f>W46+X46+Y46</f>
        <v>545</v>
      </c>
    </row>
    <row r="47" spans="1:30">
      <c r="A47" s="19">
        <f>_xlfn.RANK.EQ(I47, $I$4:$I$100)</f>
        <v>28</v>
      </c>
      <c r="B47" s="20"/>
      <c r="C47" s="21"/>
      <c r="D47" s="21"/>
      <c r="E47" s="21"/>
      <c r="F47" s="22">
        <f>C47/15</f>
        <v>0</v>
      </c>
      <c r="G47" s="22">
        <f>D47/5</f>
        <v>0</v>
      </c>
      <c r="H47" s="23">
        <f>E47/5</f>
        <v>0</v>
      </c>
      <c r="I47" s="24">
        <f>F47+G47+H47</f>
        <v>0</v>
      </c>
      <c r="J47" s="14">
        <f t="shared" si="1"/>
        <v>0</v>
      </c>
      <c r="T47" s="18">
        <f>_xlfn.RANK.EQ(AC47, $AC$4:$AC$100)</f>
        <v>43</v>
      </c>
      <c r="U47" s="9" t="s">
        <v>120</v>
      </c>
      <c r="V47" s="9" t="s">
        <v>20</v>
      </c>
      <c r="W47" s="10">
        <v>300</v>
      </c>
      <c r="X47" s="10">
        <v>125</v>
      </c>
      <c r="Y47" s="10">
        <v>110</v>
      </c>
      <c r="Z47" s="11">
        <f>W47/15</f>
        <v>20</v>
      </c>
      <c r="AA47" s="11">
        <f>X47/5</f>
        <v>25</v>
      </c>
      <c r="AB47" s="12">
        <f>Y47/5</f>
        <v>22</v>
      </c>
      <c r="AC47" s="13">
        <f>Z47+AA47+AB47</f>
        <v>67</v>
      </c>
      <c r="AD47" s="14">
        <f>W47+X47+Y47</f>
        <v>535</v>
      </c>
    </row>
    <row r="48" spans="1:30">
      <c r="A48" s="19">
        <f>_xlfn.RANK.EQ(I48, $I$4:$I$100)</f>
        <v>28</v>
      </c>
      <c r="B48" s="20"/>
      <c r="C48" s="21"/>
      <c r="D48" s="21"/>
      <c r="E48" s="21"/>
      <c r="F48" s="22">
        <f>C48/15</f>
        <v>0</v>
      </c>
      <c r="G48" s="22">
        <f>D48/5</f>
        <v>0</v>
      </c>
      <c r="H48" s="23">
        <f>E48/5</f>
        <v>0</v>
      </c>
      <c r="I48" s="24">
        <f>F48+G48+H48</f>
        <v>0</v>
      </c>
      <c r="J48" s="14">
        <f t="shared" si="1"/>
        <v>0</v>
      </c>
      <c r="T48" s="18">
        <f>_xlfn.RANK.EQ(AC48, $AC$4:$AC$100)</f>
        <v>43</v>
      </c>
      <c r="U48" s="9" t="s">
        <v>121</v>
      </c>
      <c r="V48" s="9" t="s">
        <v>20</v>
      </c>
      <c r="W48" s="10">
        <v>285</v>
      </c>
      <c r="X48" s="10">
        <v>110</v>
      </c>
      <c r="Y48" s="10">
        <v>130</v>
      </c>
      <c r="Z48" s="11">
        <f>W48/15</f>
        <v>19</v>
      </c>
      <c r="AA48" s="11">
        <f>X48/5</f>
        <v>22</v>
      </c>
      <c r="AB48" s="12">
        <f>Y48/5</f>
        <v>26</v>
      </c>
      <c r="AC48" s="13">
        <f>Z48+AA48+AB48</f>
        <v>67</v>
      </c>
      <c r="AD48" s="14">
        <f>W48+Y48+X48</f>
        <v>525</v>
      </c>
    </row>
    <row r="49" spans="1:30">
      <c r="A49" s="19">
        <f>_xlfn.RANK.EQ(I49, $I$4:$I$100)</f>
        <v>28</v>
      </c>
      <c r="B49" s="20"/>
      <c r="C49" s="21"/>
      <c r="D49" s="21"/>
      <c r="E49" s="21"/>
      <c r="F49" s="22">
        <f>C49/15</f>
        <v>0</v>
      </c>
      <c r="G49" s="22">
        <f>D49/5</f>
        <v>0</v>
      </c>
      <c r="H49" s="23">
        <f>E49/5</f>
        <v>0</v>
      </c>
      <c r="I49" s="24">
        <f>F49+G49+H49</f>
        <v>0</v>
      </c>
      <c r="J49" s="14">
        <f t="shared" si="1"/>
        <v>0</v>
      </c>
      <c r="T49" s="18">
        <f>_xlfn.RANK.EQ(AC49, $AC$4:$AC$100)</f>
        <v>46</v>
      </c>
      <c r="U49" s="9" t="s">
        <v>122</v>
      </c>
      <c r="V49" s="9" t="s">
        <v>27</v>
      </c>
      <c r="W49" s="10">
        <v>325</v>
      </c>
      <c r="X49" s="10">
        <v>105</v>
      </c>
      <c r="Y49" s="10">
        <v>120</v>
      </c>
      <c r="Z49" s="11">
        <f>W49/15</f>
        <v>21.666666666666668</v>
      </c>
      <c r="AA49" s="11">
        <f>X49/5</f>
        <v>21</v>
      </c>
      <c r="AB49" s="12">
        <f>Y49/5</f>
        <v>24</v>
      </c>
      <c r="AC49" s="13">
        <f>Z49+AA49+AB49</f>
        <v>66.666666666666671</v>
      </c>
      <c r="AD49" s="14">
        <f>W49+X49+Y49</f>
        <v>550</v>
      </c>
    </row>
    <row r="50" spans="1:30">
      <c r="A50" s="19">
        <f>_xlfn.RANK.EQ(I50, $I$4:$I$100)</f>
        <v>28</v>
      </c>
      <c r="B50" s="20"/>
      <c r="C50" s="21"/>
      <c r="D50" s="21"/>
      <c r="E50" s="21"/>
      <c r="F50" s="22">
        <f>C50/15</f>
        <v>0</v>
      </c>
      <c r="G50" s="22">
        <f>D50/5</f>
        <v>0</v>
      </c>
      <c r="H50" s="23">
        <f>E50/5</f>
        <v>0</v>
      </c>
      <c r="I50" s="24">
        <f>F50+G50+H50</f>
        <v>0</v>
      </c>
      <c r="J50" s="14">
        <f t="shared" si="1"/>
        <v>0</v>
      </c>
      <c r="T50" s="18">
        <f>_xlfn.RANK.EQ(AC50, $AC$4:$AC$100)</f>
        <v>47</v>
      </c>
      <c r="U50" s="9" t="s">
        <v>123</v>
      </c>
      <c r="V50" s="9" t="s">
        <v>27</v>
      </c>
      <c r="W50" s="10">
        <v>300</v>
      </c>
      <c r="X50" s="10">
        <v>110</v>
      </c>
      <c r="Y50" s="10">
        <v>120</v>
      </c>
      <c r="Z50" s="11">
        <f>W50/15</f>
        <v>20</v>
      </c>
      <c r="AA50" s="11">
        <f>X50/5</f>
        <v>22</v>
      </c>
      <c r="AB50" s="12">
        <f>Y50/5</f>
        <v>24</v>
      </c>
      <c r="AC50" s="13">
        <f>Z50+AA50+AB50</f>
        <v>66</v>
      </c>
      <c r="AD50" s="14">
        <f>W50+Y50+X50</f>
        <v>530</v>
      </c>
    </row>
    <row r="51" spans="1:30">
      <c r="A51" s="19">
        <f>_xlfn.RANK.EQ(I51, $I$4:$I$100)</f>
        <v>28</v>
      </c>
      <c r="B51" s="20"/>
      <c r="C51" s="21"/>
      <c r="D51" s="21"/>
      <c r="E51" s="21"/>
      <c r="F51" s="22">
        <f>C51/15</f>
        <v>0</v>
      </c>
      <c r="G51" s="22">
        <f>D51/5</f>
        <v>0</v>
      </c>
      <c r="H51" s="23">
        <f>E51/5</f>
        <v>0</v>
      </c>
      <c r="I51" s="24">
        <f>F51+G51+H51</f>
        <v>0</v>
      </c>
      <c r="J51" s="14">
        <f t="shared" si="1"/>
        <v>0</v>
      </c>
      <c r="T51" s="18">
        <f>_xlfn.RANK.EQ(AC51, $AC$4:$AC$100)</f>
        <v>47</v>
      </c>
      <c r="U51" s="9" t="s">
        <v>124</v>
      </c>
      <c r="V51" s="9" t="s">
        <v>17</v>
      </c>
      <c r="W51" s="10">
        <v>315</v>
      </c>
      <c r="X51" s="10">
        <v>125</v>
      </c>
      <c r="Y51" s="10">
        <v>100</v>
      </c>
      <c r="Z51" s="11">
        <f>W51/15</f>
        <v>21</v>
      </c>
      <c r="AA51" s="11">
        <f>X51/5</f>
        <v>25</v>
      </c>
      <c r="AB51" s="12">
        <f>Y51/5</f>
        <v>20</v>
      </c>
      <c r="AC51" s="13">
        <f>Z51+AA51+AB51</f>
        <v>66</v>
      </c>
      <c r="AD51" s="14">
        <f>W51+Y51+X51</f>
        <v>540</v>
      </c>
    </row>
    <row r="52" spans="1:30">
      <c r="A52" s="19">
        <f>_xlfn.RANK.EQ(I52, $I$4:$I$100)</f>
        <v>28</v>
      </c>
      <c r="B52" s="20"/>
      <c r="C52" s="21"/>
      <c r="D52" s="21"/>
      <c r="E52" s="21"/>
      <c r="F52" s="22">
        <f>C52/15</f>
        <v>0</v>
      </c>
      <c r="G52" s="22">
        <f>D52/5</f>
        <v>0</v>
      </c>
      <c r="H52" s="23">
        <f>E52/5</f>
        <v>0</v>
      </c>
      <c r="I52" s="24">
        <f>F52+G52+H52</f>
        <v>0</v>
      </c>
      <c r="J52" s="14">
        <f t="shared" si="1"/>
        <v>0</v>
      </c>
      <c r="T52" s="18">
        <f>_xlfn.RANK.EQ(AC52, $AC$4:$AC$100)</f>
        <v>47</v>
      </c>
      <c r="U52" s="9" t="s">
        <v>125</v>
      </c>
      <c r="V52" s="9" t="s">
        <v>20</v>
      </c>
      <c r="W52" s="10">
        <v>330</v>
      </c>
      <c r="X52" s="10">
        <v>130</v>
      </c>
      <c r="Y52" s="10">
        <v>90</v>
      </c>
      <c r="Z52" s="11">
        <f>W52/15</f>
        <v>22</v>
      </c>
      <c r="AA52" s="11">
        <f>X52/5</f>
        <v>26</v>
      </c>
      <c r="AB52" s="12">
        <f>Y52/5</f>
        <v>18</v>
      </c>
      <c r="AC52" s="13">
        <f>Z52+AA52+AB52</f>
        <v>66</v>
      </c>
      <c r="AD52" s="14">
        <f>W52+Y52+X52</f>
        <v>550</v>
      </c>
    </row>
    <row r="53" spans="1:30">
      <c r="A53" s="19">
        <f>_xlfn.RANK.EQ(I53, $I$4:$I$100)</f>
        <v>28</v>
      </c>
      <c r="B53" s="20"/>
      <c r="C53" s="21"/>
      <c r="D53" s="21"/>
      <c r="E53" s="21"/>
      <c r="F53" s="22">
        <f>C53/15</f>
        <v>0</v>
      </c>
      <c r="G53" s="22">
        <f>D53/5</f>
        <v>0</v>
      </c>
      <c r="H53" s="23">
        <f>E53/5</f>
        <v>0</v>
      </c>
      <c r="I53" s="24">
        <f>F53+G53+H53</f>
        <v>0</v>
      </c>
      <c r="J53" s="14">
        <f t="shared" si="1"/>
        <v>0</v>
      </c>
      <c r="T53" s="18">
        <f>_xlfn.RANK.EQ(AC53, $AC$4:$AC$100)</f>
        <v>50</v>
      </c>
      <c r="U53" s="9" t="s">
        <v>126</v>
      </c>
      <c r="V53" s="9" t="s">
        <v>27</v>
      </c>
      <c r="W53" s="10">
        <v>310</v>
      </c>
      <c r="X53" s="10">
        <v>105</v>
      </c>
      <c r="Y53" s="10">
        <v>120</v>
      </c>
      <c r="Z53" s="11">
        <f>W53/15</f>
        <v>20.666666666666668</v>
      </c>
      <c r="AA53" s="11">
        <f>X53/5</f>
        <v>21</v>
      </c>
      <c r="AB53" s="12">
        <f>Y53/5</f>
        <v>24</v>
      </c>
      <c r="AC53" s="13">
        <f>Z53+AA53+AB53</f>
        <v>65.666666666666671</v>
      </c>
      <c r="AD53" s="14">
        <f>W53+Y53+X53</f>
        <v>535</v>
      </c>
    </row>
    <row r="54" spans="1:30">
      <c r="A54" s="19">
        <f>_xlfn.RANK.EQ(I54, $I$4:$I$100)</f>
        <v>28</v>
      </c>
      <c r="B54" s="20"/>
      <c r="C54" s="21"/>
      <c r="D54" s="21"/>
      <c r="E54" s="21"/>
      <c r="F54" s="22">
        <f>C54/15</f>
        <v>0</v>
      </c>
      <c r="G54" s="22">
        <f>D54/5</f>
        <v>0</v>
      </c>
      <c r="H54" s="23">
        <f>E54/5</f>
        <v>0</v>
      </c>
      <c r="I54" s="24">
        <f>F54+G54+H54</f>
        <v>0</v>
      </c>
      <c r="J54" s="14">
        <f t="shared" si="1"/>
        <v>0</v>
      </c>
      <c r="T54" s="18">
        <f>_xlfn.RANK.EQ(AC54, $AC$4:$AC$100)</f>
        <v>51</v>
      </c>
      <c r="U54" s="9" t="s">
        <v>127</v>
      </c>
      <c r="V54" s="9" t="s">
        <v>20</v>
      </c>
      <c r="W54" s="10">
        <v>320</v>
      </c>
      <c r="X54" s="10">
        <v>120</v>
      </c>
      <c r="Y54" s="10">
        <v>100</v>
      </c>
      <c r="Z54" s="11">
        <f>W54/15</f>
        <v>21.333333333333332</v>
      </c>
      <c r="AA54" s="11">
        <f>X54/5</f>
        <v>24</v>
      </c>
      <c r="AB54" s="12">
        <f>Y54/5</f>
        <v>20</v>
      </c>
      <c r="AC54" s="13">
        <f>Z54+AA54+AB54</f>
        <v>65.333333333333329</v>
      </c>
      <c r="AD54" s="14">
        <f>W54+Y54+X54</f>
        <v>540</v>
      </c>
    </row>
    <row r="55" spans="1:30">
      <c r="A55" s="19">
        <f>_xlfn.RANK.EQ(I55, $I$4:$I$100)</f>
        <v>28</v>
      </c>
      <c r="B55" s="20"/>
      <c r="C55" s="21"/>
      <c r="D55" s="21"/>
      <c r="E55" s="21"/>
      <c r="F55" s="22">
        <f>C55/15</f>
        <v>0</v>
      </c>
      <c r="G55" s="22">
        <f>D55/5</f>
        <v>0</v>
      </c>
      <c r="H55" s="23">
        <f>E55/5</f>
        <v>0</v>
      </c>
      <c r="I55" s="24">
        <f>F55+G55+H55</f>
        <v>0</v>
      </c>
      <c r="J55" s="14">
        <f t="shared" si="1"/>
        <v>0</v>
      </c>
      <c r="T55" s="18">
        <f>_xlfn.RANK.EQ(AC55, $AC$4:$AC$100)</f>
        <v>51</v>
      </c>
      <c r="U55" s="9" t="s">
        <v>128</v>
      </c>
      <c r="V55" s="9" t="s">
        <v>17</v>
      </c>
      <c r="W55" s="10">
        <v>305</v>
      </c>
      <c r="X55" s="10">
        <v>125</v>
      </c>
      <c r="Y55" s="10">
        <v>100</v>
      </c>
      <c r="Z55" s="11">
        <f>W55/15</f>
        <v>20.333333333333332</v>
      </c>
      <c r="AA55" s="11">
        <f>X55/5</f>
        <v>25</v>
      </c>
      <c r="AB55" s="12">
        <f>Y55/5</f>
        <v>20</v>
      </c>
      <c r="AC55" s="13">
        <f>Z55+AA55+AB55</f>
        <v>65.333333333333329</v>
      </c>
      <c r="AD55" s="14">
        <f>W55+Y55+X55</f>
        <v>530</v>
      </c>
    </row>
    <row r="56" spans="1:30">
      <c r="A56" s="19">
        <f>_xlfn.RANK.EQ(I56, $I$4:$I$100)</f>
        <v>28</v>
      </c>
      <c r="B56" s="20"/>
      <c r="C56" s="21"/>
      <c r="D56" s="21"/>
      <c r="E56" s="21"/>
      <c r="F56" s="22">
        <f>C56/15</f>
        <v>0</v>
      </c>
      <c r="G56" s="22">
        <f>D56/5</f>
        <v>0</v>
      </c>
      <c r="H56" s="23">
        <f>E56/5</f>
        <v>0</v>
      </c>
      <c r="I56" s="24">
        <f>F56+G56+H56</f>
        <v>0</v>
      </c>
      <c r="J56" s="14">
        <f t="shared" si="1"/>
        <v>0</v>
      </c>
      <c r="T56" s="18">
        <f>_xlfn.RANK.EQ(AC56, $AC$4:$AC$100)</f>
        <v>53</v>
      </c>
      <c r="U56" s="9" t="s">
        <v>129</v>
      </c>
      <c r="V56" s="9" t="s">
        <v>20</v>
      </c>
      <c r="W56" s="10">
        <v>315</v>
      </c>
      <c r="X56" s="10">
        <v>120</v>
      </c>
      <c r="Y56" s="10">
        <v>100</v>
      </c>
      <c r="Z56" s="11">
        <f>W56/15</f>
        <v>21</v>
      </c>
      <c r="AA56" s="11">
        <f>X56/5</f>
        <v>24</v>
      </c>
      <c r="AB56" s="12">
        <f>Y56/5</f>
        <v>20</v>
      </c>
      <c r="AC56" s="13">
        <f>Z56+AA56+AB56</f>
        <v>65</v>
      </c>
      <c r="AD56" s="14">
        <f>W56+Y56+X56</f>
        <v>535</v>
      </c>
    </row>
    <row r="57" spans="1:30">
      <c r="A57" s="19">
        <f t="shared" ref="A57:A101" si="2">_xlfn.RANK.EQ(I57, $I$4:$I$100)</f>
        <v>28</v>
      </c>
      <c r="B57" s="20"/>
      <c r="C57" s="21"/>
      <c r="D57" s="21"/>
      <c r="E57" s="21"/>
      <c r="F57" s="22">
        <f t="shared" ref="F57:F101" si="3">C57/15</f>
        <v>0</v>
      </c>
      <c r="G57" s="22">
        <f t="shared" ref="G57:H101" si="4">D57/5</f>
        <v>0</v>
      </c>
      <c r="H57" s="23">
        <f t="shared" si="4"/>
        <v>0</v>
      </c>
      <c r="I57" s="24">
        <f t="shared" ref="I57:I101" si="5">F57+G57+H57</f>
        <v>0</v>
      </c>
      <c r="J57" s="14">
        <f t="shared" si="1"/>
        <v>0</v>
      </c>
      <c r="T57" s="18">
        <f>_xlfn.RANK.EQ(AC57, $AC$4:$AC$100)</f>
        <v>54</v>
      </c>
      <c r="U57" s="9" t="s">
        <v>130</v>
      </c>
      <c r="V57" s="9" t="s">
        <v>103</v>
      </c>
      <c r="W57" s="10">
        <v>320</v>
      </c>
      <c r="X57" s="10">
        <v>105</v>
      </c>
      <c r="Y57" s="10">
        <v>110</v>
      </c>
      <c r="Z57" s="11">
        <f>W57/15</f>
        <v>21.333333333333332</v>
      </c>
      <c r="AA57" s="11">
        <f>X57/5</f>
        <v>21</v>
      </c>
      <c r="AB57" s="12">
        <f>Y57/5</f>
        <v>22</v>
      </c>
      <c r="AC57" s="13">
        <f>Z57+AA57+AB57</f>
        <v>64.333333333333329</v>
      </c>
      <c r="AD57" s="14">
        <f>W57+Y57+X57</f>
        <v>535</v>
      </c>
    </row>
    <row r="58" spans="1:30">
      <c r="A58" s="19">
        <f t="shared" si="2"/>
        <v>28</v>
      </c>
      <c r="B58" s="20"/>
      <c r="C58" s="21"/>
      <c r="D58" s="21"/>
      <c r="E58" s="21"/>
      <c r="F58" s="22">
        <f t="shared" si="3"/>
        <v>0</v>
      </c>
      <c r="G58" s="22">
        <f t="shared" si="4"/>
        <v>0</v>
      </c>
      <c r="H58" s="23">
        <f t="shared" si="4"/>
        <v>0</v>
      </c>
      <c r="I58" s="24">
        <f t="shared" si="5"/>
        <v>0</v>
      </c>
      <c r="J58" s="14">
        <f t="shared" si="1"/>
        <v>0</v>
      </c>
      <c r="T58" s="18">
        <f>_xlfn.RANK.EQ(AC58, $AC$4:$AC$100)</f>
        <v>55</v>
      </c>
      <c r="U58" s="9" t="s">
        <v>131</v>
      </c>
      <c r="V58" s="9" t="s">
        <v>20</v>
      </c>
      <c r="W58" s="10">
        <v>300</v>
      </c>
      <c r="X58" s="10">
        <v>120</v>
      </c>
      <c r="Y58" s="10">
        <v>100</v>
      </c>
      <c r="Z58" s="11">
        <f>W58/15</f>
        <v>20</v>
      </c>
      <c r="AA58" s="11">
        <f>X58/5</f>
        <v>24</v>
      </c>
      <c r="AB58" s="12">
        <f>Y58/5</f>
        <v>20</v>
      </c>
      <c r="AC58" s="13">
        <f>Z58+AA58+AB58</f>
        <v>64</v>
      </c>
      <c r="AD58" s="14">
        <f>W58+Y58+X58</f>
        <v>520</v>
      </c>
    </row>
    <row r="59" spans="1:30">
      <c r="A59" s="19">
        <f t="shared" si="2"/>
        <v>28</v>
      </c>
      <c r="B59" s="20"/>
      <c r="C59" s="21"/>
      <c r="D59" s="21"/>
      <c r="E59" s="21"/>
      <c r="F59" s="22">
        <f t="shared" si="3"/>
        <v>0</v>
      </c>
      <c r="G59" s="22">
        <f t="shared" si="4"/>
        <v>0</v>
      </c>
      <c r="H59" s="23">
        <f t="shared" si="4"/>
        <v>0</v>
      </c>
      <c r="I59" s="24">
        <f t="shared" si="5"/>
        <v>0</v>
      </c>
      <c r="J59" s="14">
        <f t="shared" si="1"/>
        <v>0</v>
      </c>
      <c r="T59" s="18">
        <f>_xlfn.RANK.EQ(AC59, $AC$4:$AC$100)</f>
        <v>56</v>
      </c>
      <c r="U59" s="9" t="s">
        <v>132</v>
      </c>
      <c r="V59" s="9" t="s">
        <v>20</v>
      </c>
      <c r="W59" s="10">
        <v>275</v>
      </c>
      <c r="X59" s="10">
        <v>105</v>
      </c>
      <c r="Y59" s="10">
        <v>120</v>
      </c>
      <c r="Z59" s="11">
        <f>W59/15</f>
        <v>18.333333333333332</v>
      </c>
      <c r="AA59" s="11">
        <f>X59/5</f>
        <v>21</v>
      </c>
      <c r="AB59" s="12">
        <f>Y59/5</f>
        <v>24</v>
      </c>
      <c r="AC59" s="13">
        <f>Z59+AA59+AB59</f>
        <v>63.333333333333329</v>
      </c>
      <c r="AD59" s="14">
        <f>W59+Y59+X59</f>
        <v>500</v>
      </c>
    </row>
    <row r="60" spans="1:30">
      <c r="A60" s="19">
        <f t="shared" si="2"/>
        <v>28</v>
      </c>
      <c r="B60" s="20"/>
      <c r="C60" s="21"/>
      <c r="D60" s="21"/>
      <c r="E60" s="21"/>
      <c r="F60" s="22">
        <f t="shared" si="3"/>
        <v>0</v>
      </c>
      <c r="G60" s="22">
        <f t="shared" si="4"/>
        <v>0</v>
      </c>
      <c r="H60" s="23">
        <f t="shared" si="4"/>
        <v>0</v>
      </c>
      <c r="I60" s="24">
        <f t="shared" si="5"/>
        <v>0</v>
      </c>
      <c r="J60" s="14">
        <f t="shared" si="1"/>
        <v>0</v>
      </c>
      <c r="T60" s="18">
        <f>_xlfn.RANK.EQ(AC60, $AC$4:$AC$100)</f>
        <v>57</v>
      </c>
      <c r="U60" s="9" t="s">
        <v>133</v>
      </c>
      <c r="V60" s="9" t="s">
        <v>20</v>
      </c>
      <c r="W60" s="10">
        <v>345</v>
      </c>
      <c r="X60" s="10">
        <v>110</v>
      </c>
      <c r="Y60" s="10">
        <v>90</v>
      </c>
      <c r="Z60" s="11">
        <f>W60/15</f>
        <v>23</v>
      </c>
      <c r="AA60" s="11">
        <f>X60/5</f>
        <v>22</v>
      </c>
      <c r="AB60" s="12">
        <f>Y60/5</f>
        <v>18</v>
      </c>
      <c r="AC60" s="13">
        <f>Z60+AA60+AB60</f>
        <v>63</v>
      </c>
      <c r="AD60" s="14">
        <f>W60+Y60+X60</f>
        <v>545</v>
      </c>
    </row>
    <row r="61" spans="1:30">
      <c r="A61" s="19">
        <f t="shared" si="2"/>
        <v>28</v>
      </c>
      <c r="B61" s="20"/>
      <c r="C61" s="21"/>
      <c r="D61" s="21"/>
      <c r="E61" s="21"/>
      <c r="F61" s="11">
        <f t="shared" si="3"/>
        <v>0</v>
      </c>
      <c r="G61" s="11">
        <f t="shared" si="4"/>
        <v>0</v>
      </c>
      <c r="H61" s="12">
        <f t="shared" si="4"/>
        <v>0</v>
      </c>
      <c r="I61" s="24">
        <f t="shared" si="5"/>
        <v>0</v>
      </c>
      <c r="J61" s="14">
        <f t="shared" si="1"/>
        <v>0</v>
      </c>
      <c r="T61" s="18">
        <f>_xlfn.RANK.EQ(AC61, $AC$4:$AC$100)</f>
        <v>57</v>
      </c>
      <c r="U61" s="9" t="s">
        <v>134</v>
      </c>
      <c r="V61" s="9" t="s">
        <v>20</v>
      </c>
      <c r="W61" s="10">
        <v>270</v>
      </c>
      <c r="X61" s="10">
        <v>85</v>
      </c>
      <c r="Y61" s="10">
        <v>140</v>
      </c>
      <c r="Z61" s="11">
        <f>W61/15</f>
        <v>18</v>
      </c>
      <c r="AA61" s="11">
        <f>X61/5</f>
        <v>17</v>
      </c>
      <c r="AB61" s="12">
        <f>Y61/5</f>
        <v>28</v>
      </c>
      <c r="AC61" s="13">
        <f>Z61+AA61+AB61</f>
        <v>63</v>
      </c>
      <c r="AD61" s="14">
        <f>W61+Y61+X61</f>
        <v>495</v>
      </c>
    </row>
    <row r="62" spans="1:30">
      <c r="A62" s="19">
        <f t="shared" si="2"/>
        <v>28</v>
      </c>
      <c r="B62" s="20"/>
      <c r="C62" s="21"/>
      <c r="D62" s="21"/>
      <c r="E62" s="21"/>
      <c r="F62" s="22">
        <f t="shared" si="3"/>
        <v>0</v>
      </c>
      <c r="G62" s="22">
        <f t="shared" si="4"/>
        <v>0</v>
      </c>
      <c r="H62" s="23">
        <f t="shared" si="4"/>
        <v>0</v>
      </c>
      <c r="I62" s="24">
        <f t="shared" si="5"/>
        <v>0</v>
      </c>
      <c r="J62" s="14">
        <f t="shared" si="1"/>
        <v>0</v>
      </c>
      <c r="T62" s="18">
        <f>_xlfn.RANK.EQ(AC62, $AC$4:$AC$100)</f>
        <v>59</v>
      </c>
      <c r="U62" s="9" t="s">
        <v>135</v>
      </c>
      <c r="V62" s="9" t="s">
        <v>109</v>
      </c>
      <c r="W62" s="10">
        <v>315</v>
      </c>
      <c r="X62" s="10">
        <v>90</v>
      </c>
      <c r="Y62" s="10">
        <v>110</v>
      </c>
      <c r="Z62" s="11">
        <f>W62/15</f>
        <v>21</v>
      </c>
      <c r="AA62" s="11">
        <f>X62/5</f>
        <v>18</v>
      </c>
      <c r="AB62" s="12">
        <f>Y62/5</f>
        <v>22</v>
      </c>
      <c r="AC62" s="13">
        <f>Z62+AA62+AB62</f>
        <v>61</v>
      </c>
      <c r="AD62" s="14">
        <f>W62+Y62+X62</f>
        <v>515</v>
      </c>
    </row>
    <row r="63" spans="1:30">
      <c r="A63" s="19">
        <f t="shared" si="2"/>
        <v>28</v>
      </c>
      <c r="B63" s="20"/>
      <c r="C63" s="21"/>
      <c r="D63" s="21"/>
      <c r="E63" s="21"/>
      <c r="F63" s="22">
        <f t="shared" si="3"/>
        <v>0</v>
      </c>
      <c r="G63" s="22">
        <f t="shared" si="4"/>
        <v>0</v>
      </c>
      <c r="H63" s="23">
        <f t="shared" si="4"/>
        <v>0</v>
      </c>
      <c r="I63" s="24">
        <f t="shared" si="5"/>
        <v>0</v>
      </c>
      <c r="J63" s="14">
        <f t="shared" si="1"/>
        <v>0</v>
      </c>
      <c r="T63" s="18">
        <f>_xlfn.RANK.EQ(AC63, $AC$4:$AC$100)</f>
        <v>59</v>
      </c>
      <c r="U63" s="9" t="s">
        <v>136</v>
      </c>
      <c r="V63" s="9" t="s">
        <v>27</v>
      </c>
      <c r="W63" s="10">
        <v>300</v>
      </c>
      <c r="X63" s="10">
        <v>105</v>
      </c>
      <c r="Y63" s="10">
        <v>100</v>
      </c>
      <c r="Z63" s="11">
        <f>W63/15</f>
        <v>20</v>
      </c>
      <c r="AA63" s="11">
        <f>X63/5</f>
        <v>21</v>
      </c>
      <c r="AB63" s="12">
        <f>Y63/5</f>
        <v>20</v>
      </c>
      <c r="AC63" s="13">
        <f>Z63+AA63+AB63</f>
        <v>61</v>
      </c>
      <c r="AD63" s="14">
        <f>W63+Y63+X63</f>
        <v>505</v>
      </c>
    </row>
    <row r="64" spans="1:30">
      <c r="A64" s="19">
        <f t="shared" si="2"/>
        <v>28</v>
      </c>
      <c r="B64" s="20"/>
      <c r="C64" s="10"/>
      <c r="D64" s="10"/>
      <c r="E64" s="10"/>
      <c r="F64" s="22">
        <f t="shared" si="3"/>
        <v>0</v>
      </c>
      <c r="G64" s="22">
        <f t="shared" si="4"/>
        <v>0</v>
      </c>
      <c r="H64" s="23">
        <f t="shared" si="4"/>
        <v>0</v>
      </c>
      <c r="I64" s="24">
        <f t="shared" si="5"/>
        <v>0</v>
      </c>
      <c r="J64" s="14">
        <f t="shared" si="1"/>
        <v>0</v>
      </c>
      <c r="T64" s="18">
        <f>_xlfn.RANK.EQ(AC64, $AC$4:$AC$100)</f>
        <v>61</v>
      </c>
      <c r="U64" s="9" t="s">
        <v>137</v>
      </c>
      <c r="V64" s="9" t="s">
        <v>20</v>
      </c>
      <c r="W64" s="10">
        <v>285</v>
      </c>
      <c r="X64" s="10">
        <v>105</v>
      </c>
      <c r="Y64" s="10">
        <v>100</v>
      </c>
      <c r="Z64" s="11">
        <f>W64/15</f>
        <v>19</v>
      </c>
      <c r="AA64" s="11">
        <f>X64/5</f>
        <v>21</v>
      </c>
      <c r="AB64" s="12">
        <f>Y64/5</f>
        <v>20</v>
      </c>
      <c r="AC64" s="13">
        <f>Z64+AA64+AB64</f>
        <v>60</v>
      </c>
      <c r="AD64" s="14">
        <f>W64+Y64+X64</f>
        <v>490</v>
      </c>
    </row>
    <row r="65" spans="1:30">
      <c r="A65" s="19">
        <f t="shared" si="2"/>
        <v>28</v>
      </c>
      <c r="B65" s="20"/>
      <c r="C65" s="21"/>
      <c r="D65" s="21"/>
      <c r="E65" s="21"/>
      <c r="F65" s="22">
        <f t="shared" si="3"/>
        <v>0</v>
      </c>
      <c r="G65" s="22">
        <f t="shared" si="4"/>
        <v>0</v>
      </c>
      <c r="H65" s="23">
        <f t="shared" si="4"/>
        <v>0</v>
      </c>
      <c r="I65" s="24">
        <f t="shared" si="5"/>
        <v>0</v>
      </c>
      <c r="J65" s="14">
        <f t="shared" si="1"/>
        <v>0</v>
      </c>
      <c r="T65" s="18">
        <f>_xlfn.RANK.EQ(AC65, $AC$4:$AC$100)</f>
        <v>62</v>
      </c>
      <c r="U65" s="9" t="s">
        <v>138</v>
      </c>
      <c r="V65" s="9" t="s">
        <v>17</v>
      </c>
      <c r="W65" s="10">
        <v>340</v>
      </c>
      <c r="X65" s="10">
        <v>95</v>
      </c>
      <c r="Y65" s="10">
        <v>90</v>
      </c>
      <c r="Z65" s="11">
        <f>W65/15</f>
        <v>22.666666666666668</v>
      </c>
      <c r="AA65" s="11">
        <f>X65/5</f>
        <v>19</v>
      </c>
      <c r="AB65" s="12">
        <f>Y65/5</f>
        <v>18</v>
      </c>
      <c r="AC65" s="13">
        <f>Z65+AA65+AB65</f>
        <v>59.666666666666671</v>
      </c>
      <c r="AD65" s="14">
        <f>W65+Y65+X65</f>
        <v>525</v>
      </c>
    </row>
    <row r="66" spans="1:30">
      <c r="A66" s="19">
        <f t="shared" si="2"/>
        <v>28</v>
      </c>
      <c r="B66" s="20"/>
      <c r="C66" s="21"/>
      <c r="D66" s="21"/>
      <c r="E66" s="21"/>
      <c r="F66" s="22">
        <f t="shared" si="3"/>
        <v>0</v>
      </c>
      <c r="G66" s="22">
        <f t="shared" si="4"/>
        <v>0</v>
      </c>
      <c r="H66" s="23">
        <f t="shared" si="4"/>
        <v>0</v>
      </c>
      <c r="I66" s="24">
        <f t="shared" si="5"/>
        <v>0</v>
      </c>
      <c r="J66" s="14">
        <f t="shared" si="1"/>
        <v>0</v>
      </c>
      <c r="T66" s="18">
        <f>_xlfn.RANK.EQ(AC66, $AC$4:$AC$100)</f>
        <v>63</v>
      </c>
      <c r="U66" s="9" t="s">
        <v>139</v>
      </c>
      <c r="V66" s="9" t="s">
        <v>27</v>
      </c>
      <c r="W66" s="10">
        <v>255</v>
      </c>
      <c r="X66" s="10">
        <v>70</v>
      </c>
      <c r="Y66" s="10">
        <v>140</v>
      </c>
      <c r="Z66" s="11">
        <f>W66/15</f>
        <v>17</v>
      </c>
      <c r="AA66" s="11">
        <f>X66/5</f>
        <v>14</v>
      </c>
      <c r="AB66" s="12">
        <f>Y66/5</f>
        <v>28</v>
      </c>
      <c r="AC66" s="13">
        <f>Z66+AA66+AB66</f>
        <v>59</v>
      </c>
      <c r="AD66" s="14">
        <f>W66+Y66+X66</f>
        <v>465</v>
      </c>
    </row>
    <row r="67" spans="1:30">
      <c r="A67" s="19">
        <f t="shared" si="2"/>
        <v>28</v>
      </c>
      <c r="B67" s="20"/>
      <c r="C67" s="21"/>
      <c r="D67" s="21"/>
      <c r="E67" s="21"/>
      <c r="F67" s="22">
        <f t="shared" si="3"/>
        <v>0</v>
      </c>
      <c r="G67" s="22">
        <f t="shared" si="4"/>
        <v>0</v>
      </c>
      <c r="H67" s="23">
        <f t="shared" si="4"/>
        <v>0</v>
      </c>
      <c r="I67" s="24">
        <f t="shared" si="5"/>
        <v>0</v>
      </c>
      <c r="J67" s="14">
        <f t="shared" si="1"/>
        <v>0</v>
      </c>
      <c r="T67" s="18">
        <f>_xlfn.RANK.EQ(AC67, $AC$4:$AC$100)</f>
        <v>63</v>
      </c>
      <c r="U67" s="9" t="s">
        <v>140</v>
      </c>
      <c r="V67" s="9" t="s">
        <v>20</v>
      </c>
      <c r="W67" s="10">
        <v>300</v>
      </c>
      <c r="X67" s="10">
        <v>105</v>
      </c>
      <c r="Y67" s="10">
        <v>90</v>
      </c>
      <c r="Z67" s="11">
        <f>W67/15</f>
        <v>20</v>
      </c>
      <c r="AA67" s="11">
        <f>X67/5</f>
        <v>21</v>
      </c>
      <c r="AB67" s="12">
        <f>Y67/5</f>
        <v>18</v>
      </c>
      <c r="AC67" s="13">
        <f>Z67+AA67+AB67</f>
        <v>59</v>
      </c>
      <c r="AD67" s="14">
        <f>W67+Y67+X67</f>
        <v>495</v>
      </c>
    </row>
    <row r="68" spans="1:30">
      <c r="A68" s="19">
        <f t="shared" si="2"/>
        <v>28</v>
      </c>
      <c r="B68" s="20"/>
      <c r="C68" s="21"/>
      <c r="D68" s="21"/>
      <c r="E68" s="21"/>
      <c r="F68" s="22">
        <f t="shared" si="3"/>
        <v>0</v>
      </c>
      <c r="G68" s="22">
        <f t="shared" si="4"/>
        <v>0</v>
      </c>
      <c r="H68" s="23">
        <f t="shared" si="4"/>
        <v>0</v>
      </c>
      <c r="I68" s="24">
        <f t="shared" si="5"/>
        <v>0</v>
      </c>
      <c r="J68" s="14">
        <f t="shared" si="1"/>
        <v>0</v>
      </c>
      <c r="T68" s="18">
        <f>_xlfn.RANK.EQ(AC68, $AC$4:$AC$100)</f>
        <v>65</v>
      </c>
      <c r="U68" s="9" t="s">
        <v>141</v>
      </c>
      <c r="V68" s="9" t="s">
        <v>27</v>
      </c>
      <c r="W68" s="10">
        <v>335</v>
      </c>
      <c r="X68" s="10">
        <v>100</v>
      </c>
      <c r="Y68" s="10">
        <v>80</v>
      </c>
      <c r="Z68" s="11">
        <f>W68/15</f>
        <v>22.333333333333332</v>
      </c>
      <c r="AA68" s="11">
        <f>X68/5</f>
        <v>20</v>
      </c>
      <c r="AB68" s="12">
        <f>Y68/5</f>
        <v>16</v>
      </c>
      <c r="AC68" s="13">
        <f>Z68+AA68+AB68</f>
        <v>58.333333333333329</v>
      </c>
      <c r="AD68" s="14">
        <f>W68+Y68+X68</f>
        <v>515</v>
      </c>
    </row>
    <row r="69" spans="1:30">
      <c r="A69" s="19">
        <f t="shared" si="2"/>
        <v>28</v>
      </c>
      <c r="B69" s="20"/>
      <c r="C69" s="21"/>
      <c r="D69" s="21"/>
      <c r="E69" s="21"/>
      <c r="F69" s="22">
        <f t="shared" si="3"/>
        <v>0</v>
      </c>
      <c r="G69" s="22">
        <f t="shared" si="4"/>
        <v>0</v>
      </c>
      <c r="H69" s="23">
        <f t="shared" si="4"/>
        <v>0</v>
      </c>
      <c r="I69" s="24">
        <f t="shared" si="5"/>
        <v>0</v>
      </c>
      <c r="J69" s="14">
        <f t="shared" si="1"/>
        <v>0</v>
      </c>
      <c r="T69" s="18">
        <f>_xlfn.RANK.EQ(AC69, $AC$4:$AC$100)</f>
        <v>66</v>
      </c>
      <c r="U69" s="9" t="s">
        <v>142</v>
      </c>
      <c r="V69" s="9" t="s">
        <v>20</v>
      </c>
      <c r="W69" s="10">
        <v>330</v>
      </c>
      <c r="X69" s="10">
        <v>95</v>
      </c>
      <c r="Y69" s="10">
        <v>80</v>
      </c>
      <c r="Z69" s="11">
        <f>W69/15</f>
        <v>22</v>
      </c>
      <c r="AA69" s="11">
        <f>X69/5</f>
        <v>19</v>
      </c>
      <c r="AB69" s="12">
        <f>Y69/5</f>
        <v>16</v>
      </c>
      <c r="AC69" s="13">
        <f>Z69+AA69+AB69</f>
        <v>57</v>
      </c>
      <c r="AD69" s="14">
        <f>W69+Y69+X69</f>
        <v>505</v>
      </c>
    </row>
    <row r="70" spans="1:30">
      <c r="A70" s="19">
        <f t="shared" si="2"/>
        <v>28</v>
      </c>
      <c r="B70" s="20"/>
      <c r="C70" s="21"/>
      <c r="D70" s="21"/>
      <c r="E70" s="21"/>
      <c r="F70" s="22">
        <f t="shared" si="3"/>
        <v>0</v>
      </c>
      <c r="G70" s="22">
        <f t="shared" si="4"/>
        <v>0</v>
      </c>
      <c r="H70" s="23">
        <f t="shared" si="4"/>
        <v>0</v>
      </c>
      <c r="I70" s="24">
        <f t="shared" si="5"/>
        <v>0</v>
      </c>
      <c r="J70" s="14">
        <f t="shared" si="1"/>
        <v>0</v>
      </c>
      <c r="T70" s="18">
        <f>_xlfn.RANK.EQ(AC70, $AC$4:$AC$100)</f>
        <v>67</v>
      </c>
      <c r="U70" s="9" t="s">
        <v>143</v>
      </c>
      <c r="V70" s="9" t="s">
        <v>20</v>
      </c>
      <c r="W70" s="10">
        <v>290</v>
      </c>
      <c r="X70" s="10">
        <v>105</v>
      </c>
      <c r="Y70" s="10">
        <v>80</v>
      </c>
      <c r="Z70" s="11">
        <f>W70/15</f>
        <v>19.333333333333332</v>
      </c>
      <c r="AA70" s="11">
        <f>X70/5</f>
        <v>21</v>
      </c>
      <c r="AB70" s="12">
        <f>Y70/5</f>
        <v>16</v>
      </c>
      <c r="AC70" s="13">
        <f>Z70+AA70+AB70</f>
        <v>56.333333333333329</v>
      </c>
      <c r="AD70" s="14">
        <f>W70+Y70+X70</f>
        <v>475</v>
      </c>
    </row>
    <row r="71" spans="1:30">
      <c r="A71" s="19">
        <f t="shared" si="2"/>
        <v>28</v>
      </c>
      <c r="B71" s="20"/>
      <c r="C71" s="21"/>
      <c r="D71" s="21"/>
      <c r="E71" s="21"/>
      <c r="F71" s="22">
        <f t="shared" si="3"/>
        <v>0</v>
      </c>
      <c r="G71" s="22">
        <f t="shared" si="4"/>
        <v>0</v>
      </c>
      <c r="H71" s="23">
        <f t="shared" si="4"/>
        <v>0</v>
      </c>
      <c r="I71" s="24">
        <f t="shared" si="5"/>
        <v>0</v>
      </c>
      <c r="J71" s="14">
        <f t="shared" si="1"/>
        <v>0</v>
      </c>
      <c r="T71" s="18">
        <f>_xlfn.RANK.EQ(AC71, $AC$4:$AC$100)</f>
        <v>68</v>
      </c>
      <c r="U71" s="9" t="s">
        <v>144</v>
      </c>
      <c r="V71" s="9" t="s">
        <v>17</v>
      </c>
      <c r="W71" s="10">
        <v>285</v>
      </c>
      <c r="X71" s="10">
        <v>100</v>
      </c>
      <c r="Y71" s="10">
        <v>80</v>
      </c>
      <c r="Z71" s="11">
        <f>W71/15</f>
        <v>19</v>
      </c>
      <c r="AA71" s="11">
        <f>X71/5</f>
        <v>20</v>
      </c>
      <c r="AB71" s="12">
        <f>Y71/5</f>
        <v>16</v>
      </c>
      <c r="AC71" s="13">
        <f>Z71+AA71+AB71</f>
        <v>55</v>
      </c>
      <c r="AD71" s="14">
        <f>W71+Y71+X71</f>
        <v>465</v>
      </c>
    </row>
    <row r="72" spans="1:30">
      <c r="A72" s="19">
        <f t="shared" si="2"/>
        <v>28</v>
      </c>
      <c r="B72" s="20"/>
      <c r="C72" s="21"/>
      <c r="D72" s="21"/>
      <c r="E72" s="21"/>
      <c r="F72" s="22">
        <f t="shared" si="3"/>
        <v>0</v>
      </c>
      <c r="G72" s="22">
        <f t="shared" si="4"/>
        <v>0</v>
      </c>
      <c r="H72" s="23">
        <f t="shared" si="4"/>
        <v>0</v>
      </c>
      <c r="I72" s="24">
        <f t="shared" si="5"/>
        <v>0</v>
      </c>
      <c r="J72" s="14">
        <f t="shared" si="1"/>
        <v>0</v>
      </c>
      <c r="T72" s="18">
        <f>_xlfn.RANK.EQ(AC72, $AC$4:$AC$100)</f>
        <v>69</v>
      </c>
      <c r="U72" s="9" t="s">
        <v>145</v>
      </c>
      <c r="V72" s="9" t="s">
        <v>20</v>
      </c>
      <c r="W72" s="10">
        <v>275</v>
      </c>
      <c r="X72" s="10">
        <v>90</v>
      </c>
      <c r="Y72" s="10">
        <v>90</v>
      </c>
      <c r="Z72" s="11">
        <f>W72/15</f>
        <v>18.333333333333332</v>
      </c>
      <c r="AA72" s="11">
        <f>X72/5</f>
        <v>18</v>
      </c>
      <c r="AB72" s="12">
        <f>Y72/5</f>
        <v>18</v>
      </c>
      <c r="AC72" s="13">
        <f>Z72+AA72+AB72</f>
        <v>54.333333333333329</v>
      </c>
      <c r="AD72" s="14">
        <f>W72+Y72+X72</f>
        <v>455</v>
      </c>
    </row>
    <row r="73" spans="1:30">
      <c r="A73" s="19">
        <f t="shared" si="2"/>
        <v>28</v>
      </c>
      <c r="B73" s="20"/>
      <c r="C73" s="21"/>
      <c r="D73" s="21"/>
      <c r="E73" s="21"/>
      <c r="F73" s="22">
        <f t="shared" si="3"/>
        <v>0</v>
      </c>
      <c r="G73" s="22">
        <f t="shared" si="4"/>
        <v>0</v>
      </c>
      <c r="H73" s="23">
        <f t="shared" si="4"/>
        <v>0</v>
      </c>
      <c r="I73" s="24">
        <f t="shared" si="5"/>
        <v>0</v>
      </c>
      <c r="J73" s="14">
        <f t="shared" si="1"/>
        <v>0</v>
      </c>
      <c r="T73" s="18">
        <f>_xlfn.RANK.EQ(AC73, $AC$4:$AC$100)</f>
        <v>70</v>
      </c>
      <c r="U73" s="9" t="s">
        <v>146</v>
      </c>
      <c r="V73" s="9" t="s">
        <v>27</v>
      </c>
      <c r="W73" s="10">
        <v>285</v>
      </c>
      <c r="X73" s="10">
        <v>75</v>
      </c>
      <c r="Y73" s="10">
        <v>90</v>
      </c>
      <c r="Z73" s="11">
        <f>W73/15</f>
        <v>19</v>
      </c>
      <c r="AA73" s="11">
        <f>X73/5</f>
        <v>15</v>
      </c>
      <c r="AB73" s="12">
        <f>Y73/5</f>
        <v>18</v>
      </c>
      <c r="AC73" s="13">
        <f>Z73+AA73+AB73</f>
        <v>52</v>
      </c>
      <c r="AD73" s="14">
        <f>W73+Y73+X73</f>
        <v>450</v>
      </c>
    </row>
    <row r="74" spans="1:30">
      <c r="A74" s="19">
        <f t="shared" si="2"/>
        <v>28</v>
      </c>
      <c r="B74" s="20"/>
      <c r="C74" s="21"/>
      <c r="D74" s="21"/>
      <c r="E74" s="21"/>
      <c r="F74" s="22">
        <f t="shared" si="3"/>
        <v>0</v>
      </c>
      <c r="G74" s="22">
        <f t="shared" si="4"/>
        <v>0</v>
      </c>
      <c r="H74" s="23">
        <f t="shared" si="4"/>
        <v>0</v>
      </c>
      <c r="I74" s="24">
        <f t="shared" si="5"/>
        <v>0</v>
      </c>
      <c r="J74" s="14">
        <f t="shared" si="1"/>
        <v>0</v>
      </c>
      <c r="T74" s="18">
        <f>_xlfn.RANK.EQ(AC74, $AC$4:$AC$100)</f>
        <v>71</v>
      </c>
      <c r="U74" s="9" t="s">
        <v>147</v>
      </c>
      <c r="V74" s="9" t="s">
        <v>109</v>
      </c>
      <c r="W74" s="10">
        <v>290</v>
      </c>
      <c r="X74" s="10">
        <v>70</v>
      </c>
      <c r="Y74" s="10">
        <v>90</v>
      </c>
      <c r="Z74" s="11">
        <f>W74/15</f>
        <v>19.333333333333332</v>
      </c>
      <c r="AA74" s="11">
        <f>X74/5</f>
        <v>14</v>
      </c>
      <c r="AB74" s="12">
        <f>Y74/5</f>
        <v>18</v>
      </c>
      <c r="AC74" s="13">
        <f>Z74+AA74+AB74</f>
        <v>51.333333333333329</v>
      </c>
      <c r="AD74" s="14">
        <f>W74+Y74+X74</f>
        <v>450</v>
      </c>
    </row>
    <row r="75" spans="1:30">
      <c r="A75" s="19">
        <f t="shared" si="2"/>
        <v>28</v>
      </c>
      <c r="B75" s="20"/>
      <c r="C75" s="21"/>
      <c r="D75" s="21"/>
      <c r="E75" s="21"/>
      <c r="F75" s="22">
        <f t="shared" si="3"/>
        <v>0</v>
      </c>
      <c r="G75" s="22">
        <f t="shared" si="4"/>
        <v>0</v>
      </c>
      <c r="H75" s="23">
        <f t="shared" si="4"/>
        <v>0</v>
      </c>
      <c r="I75" s="24">
        <f t="shared" si="5"/>
        <v>0</v>
      </c>
      <c r="J75" s="14">
        <f t="shared" si="1"/>
        <v>0</v>
      </c>
      <c r="T75" s="18">
        <f>_xlfn.RANK.EQ(AC75, $AC$4:$AC$100)</f>
        <v>72</v>
      </c>
      <c r="U75" s="9" t="s">
        <v>148</v>
      </c>
      <c r="V75" s="9" t="s">
        <v>17</v>
      </c>
      <c r="W75" s="10">
        <v>300</v>
      </c>
      <c r="X75" s="10">
        <v>75</v>
      </c>
      <c r="Y75" s="10">
        <v>80</v>
      </c>
      <c r="Z75" s="11">
        <f>W75/15</f>
        <v>20</v>
      </c>
      <c r="AA75" s="11">
        <f>X75/5</f>
        <v>15</v>
      </c>
      <c r="AB75" s="12">
        <f>Y75/5</f>
        <v>16</v>
      </c>
      <c r="AC75" s="13">
        <f>Z75+AA75+AB75</f>
        <v>51</v>
      </c>
      <c r="AD75" s="14">
        <f>W75+Y75+X75</f>
        <v>455</v>
      </c>
    </row>
    <row r="76" spans="1:30">
      <c r="A76" s="19">
        <f t="shared" si="2"/>
        <v>28</v>
      </c>
      <c r="B76" s="20"/>
      <c r="C76" s="21"/>
      <c r="D76" s="21"/>
      <c r="E76" s="21"/>
      <c r="F76" s="22">
        <f t="shared" si="3"/>
        <v>0</v>
      </c>
      <c r="G76" s="22">
        <f t="shared" si="4"/>
        <v>0</v>
      </c>
      <c r="H76" s="23">
        <f t="shared" si="4"/>
        <v>0</v>
      </c>
      <c r="I76" s="24">
        <f t="shared" si="5"/>
        <v>0</v>
      </c>
      <c r="J76" s="14">
        <f t="shared" si="1"/>
        <v>0</v>
      </c>
      <c r="T76" s="18">
        <f>_xlfn.RANK.EQ(AC76, $AC$4:$AC$100)</f>
        <v>73</v>
      </c>
      <c r="U76" s="9" t="s">
        <v>149</v>
      </c>
      <c r="V76" s="9" t="s">
        <v>17</v>
      </c>
      <c r="W76" s="10">
        <v>205</v>
      </c>
      <c r="X76" s="10">
        <v>80</v>
      </c>
      <c r="Y76" s="10">
        <v>100</v>
      </c>
      <c r="Z76" s="11">
        <f>W76/15</f>
        <v>13.666666666666666</v>
      </c>
      <c r="AA76" s="11">
        <f>X76/5</f>
        <v>16</v>
      </c>
      <c r="AB76" s="12">
        <f>Y76/5</f>
        <v>20</v>
      </c>
      <c r="AC76" s="13">
        <f>Z76+AA76+AB76</f>
        <v>49.666666666666664</v>
      </c>
      <c r="AD76" s="14">
        <f>W76+Y76+X76</f>
        <v>385</v>
      </c>
    </row>
    <row r="77" spans="1:30">
      <c r="A77" s="19">
        <f t="shared" si="2"/>
        <v>28</v>
      </c>
      <c r="B77" s="20"/>
      <c r="C77" s="21"/>
      <c r="D77" s="21"/>
      <c r="E77" s="21"/>
      <c r="F77" s="22">
        <f t="shared" si="3"/>
        <v>0</v>
      </c>
      <c r="G77" s="22">
        <f t="shared" si="4"/>
        <v>0</v>
      </c>
      <c r="H77" s="23">
        <f t="shared" si="4"/>
        <v>0</v>
      </c>
      <c r="I77" s="24">
        <f t="shared" si="5"/>
        <v>0</v>
      </c>
      <c r="J77" s="14">
        <f t="shared" si="1"/>
        <v>0</v>
      </c>
      <c r="T77" s="18">
        <f>_xlfn.RANK.EQ(AC77, $AC$4:$AC$100)</f>
        <v>74</v>
      </c>
      <c r="U77" s="9"/>
      <c r="V77" s="9"/>
      <c r="W77" s="10"/>
      <c r="X77" s="10"/>
      <c r="Y77" s="10"/>
      <c r="Z77" s="11">
        <f>W77/15</f>
        <v>0</v>
      </c>
      <c r="AA77" s="11">
        <f>X77/5</f>
        <v>0</v>
      </c>
      <c r="AB77" s="12">
        <f>Y77/5</f>
        <v>0</v>
      </c>
      <c r="AC77" s="13">
        <f>Z77+AA77+AB77</f>
        <v>0</v>
      </c>
      <c r="AD77" s="14">
        <f>W77+Y77+X77</f>
        <v>0</v>
      </c>
    </row>
    <row r="78" spans="1:30">
      <c r="A78" s="19">
        <f t="shared" si="2"/>
        <v>28</v>
      </c>
      <c r="B78" s="20"/>
      <c r="C78" s="21"/>
      <c r="D78" s="21"/>
      <c r="E78" s="21"/>
      <c r="F78" s="22">
        <f t="shared" si="3"/>
        <v>0</v>
      </c>
      <c r="G78" s="22">
        <f t="shared" si="4"/>
        <v>0</v>
      </c>
      <c r="H78" s="23">
        <f t="shared" si="4"/>
        <v>0</v>
      </c>
      <c r="I78" s="24">
        <f t="shared" si="5"/>
        <v>0</v>
      </c>
      <c r="J78" s="14">
        <f t="shared" si="1"/>
        <v>0</v>
      </c>
      <c r="T78" s="18">
        <f>_xlfn.RANK.EQ(AC78, $AC$4:$AC$100)</f>
        <v>74</v>
      </c>
      <c r="U78" s="9"/>
      <c r="V78" s="9"/>
      <c r="W78" s="10"/>
      <c r="X78" s="10"/>
      <c r="Y78" s="10"/>
      <c r="Z78" s="11">
        <f>W78/15</f>
        <v>0</v>
      </c>
      <c r="AA78" s="11">
        <f>X78/5</f>
        <v>0</v>
      </c>
      <c r="AB78" s="12">
        <f>Y78/5</f>
        <v>0</v>
      </c>
      <c r="AC78" s="13">
        <f>Z78+AA78+AB78</f>
        <v>0</v>
      </c>
      <c r="AD78" s="14">
        <f>W78+Y78+X78</f>
        <v>0</v>
      </c>
    </row>
    <row r="79" spans="1:30">
      <c r="A79" s="19">
        <f t="shared" si="2"/>
        <v>28</v>
      </c>
      <c r="B79" s="20"/>
      <c r="C79" s="21"/>
      <c r="D79" s="21"/>
      <c r="E79" s="21"/>
      <c r="F79" s="22">
        <f t="shared" si="3"/>
        <v>0</v>
      </c>
      <c r="G79" s="22">
        <f t="shared" si="4"/>
        <v>0</v>
      </c>
      <c r="H79" s="23">
        <f t="shared" si="4"/>
        <v>0</v>
      </c>
      <c r="I79" s="24">
        <f t="shared" si="5"/>
        <v>0</v>
      </c>
      <c r="J79" s="14">
        <f t="shared" si="1"/>
        <v>0</v>
      </c>
      <c r="T79" s="18">
        <f>_xlfn.RANK.EQ(AC79, $AC$4:$AC$100)</f>
        <v>74</v>
      </c>
      <c r="U79" s="9"/>
      <c r="V79" s="9"/>
      <c r="W79" s="10"/>
      <c r="X79" s="10"/>
      <c r="Y79" s="10"/>
      <c r="Z79" s="11">
        <f>W79/15</f>
        <v>0</v>
      </c>
      <c r="AA79" s="11">
        <f>X79/5</f>
        <v>0</v>
      </c>
      <c r="AB79" s="12">
        <f>Y79/5</f>
        <v>0</v>
      </c>
      <c r="AC79" s="13">
        <f>Z79+AA79+AB79</f>
        <v>0</v>
      </c>
      <c r="AD79" s="14">
        <f>W79+Y79+X79</f>
        <v>0</v>
      </c>
    </row>
    <row r="80" spans="1:30">
      <c r="A80" s="19">
        <f t="shared" si="2"/>
        <v>28</v>
      </c>
      <c r="B80" s="20"/>
      <c r="C80" s="21"/>
      <c r="D80" s="21"/>
      <c r="E80" s="21"/>
      <c r="F80" s="11">
        <f t="shared" si="3"/>
        <v>0</v>
      </c>
      <c r="G80" s="11">
        <f t="shared" si="4"/>
        <v>0</v>
      </c>
      <c r="H80" s="12">
        <f t="shared" si="4"/>
        <v>0</v>
      </c>
      <c r="I80" s="24">
        <f t="shared" si="5"/>
        <v>0</v>
      </c>
      <c r="J80" s="14">
        <f t="shared" si="1"/>
        <v>0</v>
      </c>
      <c r="T80" s="18">
        <f>_xlfn.RANK.EQ(AC80, $AC$4:$AC$100)</f>
        <v>74</v>
      </c>
      <c r="U80" s="9"/>
      <c r="V80" s="9"/>
      <c r="W80" s="10"/>
      <c r="X80" s="10"/>
      <c r="Y80" s="10"/>
      <c r="Z80" s="11">
        <f>W80/15</f>
        <v>0</v>
      </c>
      <c r="AA80" s="11">
        <f>X80/5</f>
        <v>0</v>
      </c>
      <c r="AB80" s="12">
        <f>Y80/5</f>
        <v>0</v>
      </c>
      <c r="AC80" s="13">
        <f>Z80+AA80+AB80</f>
        <v>0</v>
      </c>
      <c r="AD80" s="14">
        <f>W80+Y80+X80</f>
        <v>0</v>
      </c>
    </row>
    <row r="81" spans="1:30">
      <c r="A81" s="19">
        <f t="shared" si="2"/>
        <v>28</v>
      </c>
      <c r="B81" s="20"/>
      <c r="C81" s="21"/>
      <c r="D81" s="21"/>
      <c r="E81" s="21"/>
      <c r="F81" s="22">
        <f t="shared" si="3"/>
        <v>0</v>
      </c>
      <c r="G81" s="22">
        <f t="shared" si="4"/>
        <v>0</v>
      </c>
      <c r="H81" s="23">
        <f t="shared" si="4"/>
        <v>0</v>
      </c>
      <c r="I81" s="24">
        <f t="shared" si="5"/>
        <v>0</v>
      </c>
      <c r="J81" s="14">
        <f t="shared" si="1"/>
        <v>0</v>
      </c>
      <c r="T81" s="18">
        <f>_xlfn.RANK.EQ(AC81, $AC$4:$AC$100)</f>
        <v>74</v>
      </c>
      <c r="U81" s="9"/>
      <c r="V81" s="9"/>
      <c r="W81" s="10"/>
      <c r="X81" s="10"/>
      <c r="Y81" s="10"/>
      <c r="Z81" s="11">
        <f>W81/15</f>
        <v>0</v>
      </c>
      <c r="AA81" s="11">
        <f>X81/5</f>
        <v>0</v>
      </c>
      <c r="AB81" s="12">
        <f>Y81/5</f>
        <v>0</v>
      </c>
      <c r="AC81" s="13">
        <f>Z81+AA81+AB81</f>
        <v>0</v>
      </c>
      <c r="AD81" s="14">
        <f>W81+Y81+X81</f>
        <v>0</v>
      </c>
    </row>
    <row r="82" spans="1:30">
      <c r="A82" s="19">
        <f t="shared" si="2"/>
        <v>28</v>
      </c>
      <c r="B82" s="20"/>
      <c r="C82" s="21"/>
      <c r="D82" s="21"/>
      <c r="E82" s="21"/>
      <c r="F82" s="22">
        <f t="shared" si="3"/>
        <v>0</v>
      </c>
      <c r="G82" s="22">
        <f t="shared" si="4"/>
        <v>0</v>
      </c>
      <c r="H82" s="23">
        <f t="shared" si="4"/>
        <v>0</v>
      </c>
      <c r="I82" s="24">
        <f t="shared" si="5"/>
        <v>0</v>
      </c>
      <c r="J82" s="14">
        <f t="shared" si="1"/>
        <v>0</v>
      </c>
      <c r="T82" s="18">
        <f>_xlfn.RANK.EQ(AC82, $AC$4:$AC$100)</f>
        <v>74</v>
      </c>
      <c r="U82" s="9"/>
      <c r="V82" s="9"/>
      <c r="W82" s="10"/>
      <c r="X82" s="10"/>
      <c r="Y82" s="10"/>
      <c r="Z82" s="11">
        <f>W82/15</f>
        <v>0</v>
      </c>
      <c r="AA82" s="11">
        <f>X82/5</f>
        <v>0</v>
      </c>
      <c r="AB82" s="12">
        <f>Y82/5</f>
        <v>0</v>
      </c>
      <c r="AC82" s="13">
        <f>Z82+AA82+AB82</f>
        <v>0</v>
      </c>
      <c r="AD82" s="14">
        <f>W82+Y82+X82</f>
        <v>0</v>
      </c>
    </row>
    <row r="83" spans="1:30">
      <c r="A83" s="19">
        <f t="shared" si="2"/>
        <v>28</v>
      </c>
      <c r="B83" s="20"/>
      <c r="C83" s="21"/>
      <c r="D83" s="21"/>
      <c r="E83" s="21"/>
      <c r="F83" s="22">
        <f t="shared" si="3"/>
        <v>0</v>
      </c>
      <c r="G83" s="22">
        <f t="shared" si="4"/>
        <v>0</v>
      </c>
      <c r="H83" s="23">
        <f t="shared" si="4"/>
        <v>0</v>
      </c>
      <c r="I83" s="24">
        <f t="shared" si="5"/>
        <v>0</v>
      </c>
      <c r="J83" s="14">
        <f t="shared" si="1"/>
        <v>0</v>
      </c>
      <c r="T83" s="18">
        <f>_xlfn.RANK.EQ(AC83, $AC$4:$AC$100)</f>
        <v>74</v>
      </c>
      <c r="U83" s="9"/>
      <c r="V83" s="9"/>
      <c r="W83" s="10"/>
      <c r="X83" s="10"/>
      <c r="Y83" s="10"/>
      <c r="Z83" s="11">
        <f>W83/15</f>
        <v>0</v>
      </c>
      <c r="AA83" s="11">
        <f>X83/5</f>
        <v>0</v>
      </c>
      <c r="AB83" s="12">
        <f>Y83/5</f>
        <v>0</v>
      </c>
      <c r="AC83" s="13">
        <f>Z83+AA83+AB83</f>
        <v>0</v>
      </c>
      <c r="AD83" s="14">
        <f>W83+Y83+X83</f>
        <v>0</v>
      </c>
    </row>
    <row r="84" spans="1:30">
      <c r="A84" s="19">
        <f t="shared" si="2"/>
        <v>28</v>
      </c>
      <c r="B84" s="20"/>
      <c r="C84" s="10"/>
      <c r="D84" s="10"/>
      <c r="E84" s="10"/>
      <c r="F84" s="22">
        <f t="shared" si="3"/>
        <v>0</v>
      </c>
      <c r="G84" s="22">
        <f t="shared" si="4"/>
        <v>0</v>
      </c>
      <c r="H84" s="23">
        <f t="shared" si="4"/>
        <v>0</v>
      </c>
      <c r="I84" s="24">
        <f t="shared" si="5"/>
        <v>0</v>
      </c>
      <c r="J84" s="14">
        <f t="shared" si="1"/>
        <v>0</v>
      </c>
      <c r="T84" s="18">
        <f>_xlfn.RANK.EQ(AC84, $AC$4:$AC$100)</f>
        <v>74</v>
      </c>
      <c r="U84" s="9"/>
      <c r="V84" s="9"/>
      <c r="W84" s="10"/>
      <c r="X84" s="10"/>
      <c r="Y84" s="10"/>
      <c r="Z84" s="11">
        <f>W84/15</f>
        <v>0</v>
      </c>
      <c r="AA84" s="11">
        <f>X84/5</f>
        <v>0</v>
      </c>
      <c r="AB84" s="12">
        <f>Y84/5</f>
        <v>0</v>
      </c>
      <c r="AC84" s="13">
        <f>Z84+AA84+AB84</f>
        <v>0</v>
      </c>
      <c r="AD84" s="14">
        <f>W84+Y84+X84</f>
        <v>0</v>
      </c>
    </row>
    <row r="85" spans="1:30">
      <c r="A85" s="19">
        <f t="shared" si="2"/>
        <v>28</v>
      </c>
      <c r="B85" s="20"/>
      <c r="C85" s="21"/>
      <c r="D85" s="21"/>
      <c r="E85" s="21"/>
      <c r="F85" s="22">
        <f t="shared" si="3"/>
        <v>0</v>
      </c>
      <c r="G85" s="22">
        <f t="shared" si="4"/>
        <v>0</v>
      </c>
      <c r="H85" s="23">
        <f t="shared" si="4"/>
        <v>0</v>
      </c>
      <c r="I85" s="24">
        <f t="shared" si="5"/>
        <v>0</v>
      </c>
      <c r="J85" s="14">
        <f t="shared" si="1"/>
        <v>0</v>
      </c>
      <c r="T85" s="18">
        <f>_xlfn.RANK.EQ(AC85, $AC$4:$AC$100)</f>
        <v>74</v>
      </c>
      <c r="U85" s="9"/>
      <c r="V85" s="9"/>
      <c r="W85" s="10"/>
      <c r="X85" s="10"/>
      <c r="Y85" s="10"/>
      <c r="Z85" s="11">
        <f>W85/15</f>
        <v>0</v>
      </c>
      <c r="AA85" s="11">
        <f>X85/5</f>
        <v>0</v>
      </c>
      <c r="AB85" s="12">
        <f>Y85/5</f>
        <v>0</v>
      </c>
      <c r="AC85" s="13">
        <f>Z85+AA85+AB85</f>
        <v>0</v>
      </c>
      <c r="AD85" s="14">
        <f>W85+Y85+X85</f>
        <v>0</v>
      </c>
    </row>
    <row r="86" spans="1:30">
      <c r="A86" s="19">
        <f t="shared" si="2"/>
        <v>28</v>
      </c>
      <c r="B86" s="20"/>
      <c r="C86" s="21"/>
      <c r="D86" s="21"/>
      <c r="E86" s="21"/>
      <c r="F86" s="22">
        <f t="shared" si="3"/>
        <v>0</v>
      </c>
      <c r="G86" s="22">
        <f t="shared" si="4"/>
        <v>0</v>
      </c>
      <c r="H86" s="23">
        <f t="shared" si="4"/>
        <v>0</v>
      </c>
      <c r="I86" s="24">
        <f t="shared" si="5"/>
        <v>0</v>
      </c>
      <c r="J86" s="14">
        <f t="shared" si="1"/>
        <v>0</v>
      </c>
      <c r="T86" s="18">
        <f>_xlfn.RANK.EQ(AC86, $AC$4:$AC$100)</f>
        <v>74</v>
      </c>
      <c r="U86" s="9"/>
      <c r="V86" s="9"/>
      <c r="W86" s="10"/>
      <c r="X86" s="10"/>
      <c r="Y86" s="10"/>
      <c r="Z86" s="11">
        <f>W86/15</f>
        <v>0</v>
      </c>
      <c r="AA86" s="11">
        <f>X86/5</f>
        <v>0</v>
      </c>
      <c r="AB86" s="12">
        <f>Y86/5</f>
        <v>0</v>
      </c>
      <c r="AC86" s="13">
        <f>Z86+AA86+AB86</f>
        <v>0</v>
      </c>
      <c r="AD86" s="14">
        <f>W86+Y86+X86</f>
        <v>0</v>
      </c>
    </row>
    <row r="87" spans="1:30">
      <c r="A87" s="19">
        <f t="shared" si="2"/>
        <v>28</v>
      </c>
      <c r="B87" s="20"/>
      <c r="C87" s="21"/>
      <c r="D87" s="21"/>
      <c r="E87" s="21"/>
      <c r="F87" s="22">
        <f t="shared" si="3"/>
        <v>0</v>
      </c>
      <c r="G87" s="22">
        <f t="shared" si="4"/>
        <v>0</v>
      </c>
      <c r="H87" s="23">
        <f t="shared" si="4"/>
        <v>0</v>
      </c>
      <c r="I87" s="24">
        <f t="shared" si="5"/>
        <v>0</v>
      </c>
      <c r="J87" s="14">
        <f t="shared" si="1"/>
        <v>0</v>
      </c>
    </row>
    <row r="88" spans="1:30">
      <c r="A88" s="19">
        <f t="shared" si="2"/>
        <v>28</v>
      </c>
      <c r="B88" s="20"/>
      <c r="C88" s="21"/>
      <c r="D88" s="21"/>
      <c r="E88" s="21"/>
      <c r="F88" s="22">
        <f t="shared" si="3"/>
        <v>0</v>
      </c>
      <c r="G88" s="22">
        <f t="shared" si="4"/>
        <v>0</v>
      </c>
      <c r="H88" s="23">
        <f t="shared" si="4"/>
        <v>0</v>
      </c>
      <c r="I88" s="24">
        <f t="shared" si="5"/>
        <v>0</v>
      </c>
      <c r="J88" s="14">
        <f t="shared" si="1"/>
        <v>0</v>
      </c>
    </row>
    <row r="89" spans="1:30">
      <c r="A89" s="19">
        <f t="shared" si="2"/>
        <v>28</v>
      </c>
      <c r="B89" s="20"/>
      <c r="C89" s="21"/>
      <c r="D89" s="21"/>
      <c r="E89" s="21"/>
      <c r="F89" s="22">
        <f t="shared" si="3"/>
        <v>0</v>
      </c>
      <c r="G89" s="22">
        <f t="shared" si="4"/>
        <v>0</v>
      </c>
      <c r="H89" s="23">
        <f t="shared" si="4"/>
        <v>0</v>
      </c>
      <c r="I89" s="24">
        <f t="shared" si="5"/>
        <v>0</v>
      </c>
      <c r="J89" s="14">
        <f t="shared" si="1"/>
        <v>0</v>
      </c>
    </row>
    <row r="90" spans="1:30">
      <c r="A90" s="19">
        <f t="shared" si="2"/>
        <v>28</v>
      </c>
      <c r="B90" s="20"/>
      <c r="C90" s="21"/>
      <c r="D90" s="21"/>
      <c r="E90" s="21"/>
      <c r="F90" s="22">
        <f t="shared" si="3"/>
        <v>0</v>
      </c>
      <c r="G90" s="22">
        <f t="shared" si="4"/>
        <v>0</v>
      </c>
      <c r="H90" s="23">
        <f t="shared" si="4"/>
        <v>0</v>
      </c>
      <c r="I90" s="24">
        <f t="shared" si="5"/>
        <v>0</v>
      </c>
      <c r="J90" s="14">
        <f t="shared" si="1"/>
        <v>0</v>
      </c>
    </row>
    <row r="91" spans="1:30">
      <c r="A91" s="19">
        <f t="shared" si="2"/>
        <v>28</v>
      </c>
      <c r="B91" s="20"/>
      <c r="C91" s="21"/>
      <c r="D91" s="21"/>
      <c r="E91" s="21"/>
      <c r="F91" s="22">
        <f t="shared" si="3"/>
        <v>0</v>
      </c>
      <c r="G91" s="22">
        <f t="shared" si="4"/>
        <v>0</v>
      </c>
      <c r="H91" s="23">
        <f t="shared" si="4"/>
        <v>0</v>
      </c>
      <c r="I91" s="24">
        <f t="shared" si="5"/>
        <v>0</v>
      </c>
      <c r="J91" s="14">
        <f t="shared" si="1"/>
        <v>0</v>
      </c>
    </row>
    <row r="92" spans="1:30">
      <c r="A92" s="19">
        <f t="shared" si="2"/>
        <v>28</v>
      </c>
      <c r="B92" s="20"/>
      <c r="C92" s="21"/>
      <c r="D92" s="21"/>
      <c r="E92" s="21"/>
      <c r="F92" s="22">
        <f t="shared" si="3"/>
        <v>0</v>
      </c>
      <c r="G92" s="22">
        <f t="shared" si="4"/>
        <v>0</v>
      </c>
      <c r="H92" s="23">
        <f t="shared" si="4"/>
        <v>0</v>
      </c>
      <c r="I92" s="24">
        <f t="shared" si="5"/>
        <v>0</v>
      </c>
      <c r="J92" s="14">
        <f t="shared" si="1"/>
        <v>0</v>
      </c>
    </row>
    <row r="93" spans="1:30">
      <c r="A93" s="19">
        <f t="shared" si="2"/>
        <v>28</v>
      </c>
      <c r="B93" s="20"/>
      <c r="C93" s="21"/>
      <c r="D93" s="21"/>
      <c r="E93" s="21"/>
      <c r="F93" s="22">
        <f t="shared" si="3"/>
        <v>0</v>
      </c>
      <c r="G93" s="22">
        <f t="shared" si="4"/>
        <v>0</v>
      </c>
      <c r="H93" s="23">
        <f t="shared" si="4"/>
        <v>0</v>
      </c>
      <c r="I93" s="24">
        <f t="shared" si="5"/>
        <v>0</v>
      </c>
      <c r="J93" s="14">
        <f t="shared" si="1"/>
        <v>0</v>
      </c>
    </row>
    <row r="94" spans="1:30">
      <c r="A94" s="19">
        <f t="shared" si="2"/>
        <v>28</v>
      </c>
      <c r="B94" s="20"/>
      <c r="C94" s="21"/>
      <c r="D94" s="21"/>
      <c r="E94" s="21"/>
      <c r="F94" s="22">
        <f t="shared" si="3"/>
        <v>0</v>
      </c>
      <c r="G94" s="22">
        <f t="shared" si="4"/>
        <v>0</v>
      </c>
      <c r="H94" s="23">
        <f t="shared" si="4"/>
        <v>0</v>
      </c>
      <c r="I94" s="24">
        <f t="shared" si="5"/>
        <v>0</v>
      </c>
      <c r="J94" s="14">
        <f t="shared" ref="J94:J100" si="6">C94+D94+E94</f>
        <v>0</v>
      </c>
    </row>
    <row r="95" spans="1:30">
      <c r="A95" s="19">
        <f t="shared" si="2"/>
        <v>28</v>
      </c>
      <c r="B95" s="20"/>
      <c r="C95" s="21"/>
      <c r="D95" s="21"/>
      <c r="E95" s="21"/>
      <c r="F95" s="22">
        <f t="shared" si="3"/>
        <v>0</v>
      </c>
      <c r="G95" s="22">
        <f t="shared" si="4"/>
        <v>0</v>
      </c>
      <c r="H95" s="23">
        <f t="shared" si="4"/>
        <v>0</v>
      </c>
      <c r="I95" s="24">
        <f t="shared" si="5"/>
        <v>0</v>
      </c>
      <c r="J95" s="14">
        <f t="shared" si="6"/>
        <v>0</v>
      </c>
    </row>
    <row r="96" spans="1:30">
      <c r="A96" s="19">
        <f t="shared" si="2"/>
        <v>28</v>
      </c>
      <c r="B96" s="20"/>
      <c r="C96" s="21"/>
      <c r="D96" s="21"/>
      <c r="E96" s="21"/>
      <c r="F96" s="22">
        <f t="shared" si="3"/>
        <v>0</v>
      </c>
      <c r="G96" s="22">
        <f t="shared" si="4"/>
        <v>0</v>
      </c>
      <c r="H96" s="23">
        <f t="shared" si="4"/>
        <v>0</v>
      </c>
      <c r="I96" s="24">
        <f t="shared" si="5"/>
        <v>0</v>
      </c>
      <c r="J96" s="14">
        <f t="shared" si="6"/>
        <v>0</v>
      </c>
    </row>
    <row r="97" spans="1:10">
      <c r="A97" s="19">
        <f t="shared" si="2"/>
        <v>28</v>
      </c>
      <c r="B97" s="20"/>
      <c r="C97" s="21"/>
      <c r="D97" s="21"/>
      <c r="E97" s="21"/>
      <c r="F97" s="22">
        <f t="shared" si="3"/>
        <v>0</v>
      </c>
      <c r="G97" s="22">
        <f t="shared" si="4"/>
        <v>0</v>
      </c>
      <c r="H97" s="23">
        <f t="shared" si="4"/>
        <v>0</v>
      </c>
      <c r="I97" s="24">
        <f t="shared" si="5"/>
        <v>0</v>
      </c>
      <c r="J97" s="14">
        <f t="shared" si="6"/>
        <v>0</v>
      </c>
    </row>
    <row r="98" spans="1:10">
      <c r="A98" s="19">
        <f t="shared" si="2"/>
        <v>28</v>
      </c>
      <c r="B98" s="20"/>
      <c r="C98" s="21"/>
      <c r="D98" s="21"/>
      <c r="E98" s="21"/>
      <c r="F98" s="22">
        <f t="shared" si="3"/>
        <v>0</v>
      </c>
      <c r="G98" s="22">
        <f t="shared" si="4"/>
        <v>0</v>
      </c>
      <c r="H98" s="23">
        <f t="shared" si="4"/>
        <v>0</v>
      </c>
      <c r="I98" s="24">
        <f t="shared" si="5"/>
        <v>0</v>
      </c>
      <c r="J98" s="14">
        <f t="shared" si="6"/>
        <v>0</v>
      </c>
    </row>
    <row r="99" spans="1:10">
      <c r="A99" s="19">
        <f t="shared" si="2"/>
        <v>28</v>
      </c>
      <c r="B99" s="20"/>
      <c r="C99" s="21"/>
      <c r="D99" s="21"/>
      <c r="E99" s="21"/>
      <c r="F99" s="11">
        <f t="shared" si="3"/>
        <v>0</v>
      </c>
      <c r="G99" s="11">
        <f t="shared" si="4"/>
        <v>0</v>
      </c>
      <c r="H99" s="12">
        <f t="shared" si="4"/>
        <v>0</v>
      </c>
      <c r="I99" s="24">
        <f t="shared" si="5"/>
        <v>0</v>
      </c>
      <c r="J99" s="14">
        <f t="shared" si="6"/>
        <v>0</v>
      </c>
    </row>
    <row r="100" spans="1:10">
      <c r="A100" s="19">
        <f t="shared" si="2"/>
        <v>28</v>
      </c>
      <c r="B100" s="20"/>
      <c r="C100" s="21"/>
      <c r="D100" s="21"/>
      <c r="E100" s="21"/>
      <c r="F100" s="22">
        <f t="shared" si="3"/>
        <v>0</v>
      </c>
      <c r="G100" s="22">
        <f t="shared" si="4"/>
        <v>0</v>
      </c>
      <c r="H100" s="23">
        <f t="shared" si="4"/>
        <v>0</v>
      </c>
      <c r="I100" s="59">
        <f t="shared" si="5"/>
        <v>0</v>
      </c>
      <c r="J100" s="14">
        <f t="shared" si="6"/>
        <v>0</v>
      </c>
    </row>
  </sheetData>
  <sortState xmlns:xlrd2="http://schemas.microsoft.com/office/spreadsheetml/2017/richdata2" ref="T4:AD86">
    <sortCondition ref="T4:T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2026-10-17T05:35:04Z</dcterms:created>
  <dcterms:modified xsi:type="dcterms:W3CDTF">2026-10-17T06:26:06Z</dcterms:modified>
  <cp:category/>
  <cp:contentStatus/>
</cp:coreProperties>
</file>